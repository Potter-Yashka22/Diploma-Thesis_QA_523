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d6ce9949d47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61cf0d94f49789764733cd31d6077.psmdcp" Id="Rcbb227b5948946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0" i="1"/>
  <x:c r="C17" i="1"/>
  <x:c r="C24" i="1"/>
  <x:c r="C31" i="1"/>
  <x:c r="C38" i="1"/>
  <x:c r="C45" i="1"/>
  <x:c r="C53" i="1"/>
  <x:c r="C58" i="1"/>
  <x:c r="C63" i="1"/>
  <x:c r="C68" i="1"/>
  <x:c r="C73" i="1"/>
  <x:c r="C78" i="1"/>
  <x:c r="C83" i="1"/>
  <x:c r="C88" i="1"/>
  <x:c r="C94" i="1"/>
  <x:c r="C100" i="1"/>
  <x:c r="C106" i="1"/>
  <x:c r="C112" i="1"/>
  <x:c r="C118" i="1"/>
  <x:c r="C124" i="1"/>
  <x:c r="C130" i="1"/>
  <x:c r="C137" i="1"/>
  <x:c r="C144" i="1"/>
  <x:c r="C151" i="1"/>
  <x:c r="C158" i="1"/>
  <x:c r="C165" i="1"/>
  <x:c r="C172" i="1"/>
  <x:c r="C178" i="1"/>
  <x:c r="C185" i="1"/>
  <x:c r="C191" i="1"/>
  <x:c r="C197" i="1"/>
  <x:c r="C203" i="1"/>
  <x:c r="C209" i="1"/>
  <x:c r="C215" i="1"/>
  <x:c r="C221" i="1"/>
  <x:c r="C227" i="1"/>
  <x:c r="C235" i="1"/>
  <x:c r="C242" i="1"/>
  <x:c r="C249" i="1"/>
  <x:c r="C256" i="1"/>
  <x:c r="C263" i="1"/>
  <x:c r="C270" i="1"/>
  <x:c r="C278" i="1"/>
  <x:c r="C284" i="1"/>
  <x:c r="C290" i="1"/>
  <x:c r="C296" i="1"/>
  <x:c r="C302" i="1"/>
  <x:c r="C308" i="1"/>
  <x:c r="C314" i="1"/>
  <x:c r="C32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<x:sst xmlns:x="http://schemas.openxmlformats.org/spreadsheetml/2006/main">
  <x:si>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</x:si>
  <x:si>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</x:si>
  <x:si>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</x:si>
  <x:si>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</x:si>
  <x:si>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</x:si>
  <x:si>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</x:si>
  <x:si>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</x:si>
  <x:si>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</x:si>
  <x:si>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</x:si>
  <x:si>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</x:si>
  <x:si>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</x:si>
  <x:si>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</x:si>
  <x:si>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</x:si>
  <x:si>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</x:si>
  <x:si>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</x:si>
  <x:si>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</x:si>
  <x:si>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</x:si>
  <x:si>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</x:t>
  </x:si>
  <x:si>
    <x:t>Дипломный проект_ACADEMY_TOP -&gt; Тестирование формы авторизации техникой Pairwise (функциональное тестирование)</x:t>
  </x:si>
  <x:si>
    <x:t>Нет</x:t>
  </x:si>
  <x:si>
    <x:t/>
  </x:si>
  <x:si>
    <x:t>Высокий</x:t>
  </x:si>
  <x:si>
    <x:t>Требуется доработка</x:t>
  </x:si>
  <x:si>
    <x:t>6/5/2026 16:32:38</x:t>
  </x:si>
  <x:si>
    <x:t>Андрей Алексутин</x:t>
  </x:si>
  <x:si>
    <x:t>0h 5m 0s</x:t>
  </x:si>
  <x:si>
    <x:t>авторизация, pairwise/кроссбраузерное</x:t>
  </x:si>
  <x:si>
    <x:t>Используя технику попарного тестирования Pairwise составить тест-кейсы авторизации. Создана учётная запись пользователя с валидными данными</x:t>
  </x:si>
  <x:si>
    <x:t>Открыть сайт Staiks.ru в Google Chrome</x:t>
  </x:si>
  <x:si>
    <x:t>Сайт открыт и доступен к работе</x:t>
  </x:si>
  <x:si>
    <x:t>Кликнуть на вкладку войти</x:t>
  </x:si>
  <x:si>
    <x:t>Открывается модальное окно двухэтапной авторизации пользователя</x:t>
  </x:si>
  <x:si>
    <x:t>В поле Электронная почта ввести  валидную почту 
borzoy_33@mail.ru</x:t>
  </x:si>
  <x:si>
    <x:t>данные введены в поле и отображаются</x:t>
  </x:si>
  <x:si>
    <x:t>Нажать продолжить</x:t>
  </x:si>
  <x:si>
    <x:t>окно обновляется с полем пароль</x:t>
  </x:si>
  <x:si>
    <x:t>Ввести валидный пароль “streaky098”</x:t>
  </x:si>
  <x:si>
    <x:t>Символы отображаются в виде звездочек (•••••••) или кружков, скрывая вводимые данные</x:t>
  </x:si>
  <x:si>
    <x:t>Нажать кнопку “Войти“</x:t>
  </x:si>
  <x:si>
    <x:t>происходит переход на главную страницу сайта, кнопка "Мой ЛК" отображается в шапке сайта</x:t>
  </x:si>
  <x:si>
    <x:t>5</x:t>
  </x:si>
  <x:si>
    <x:t>6/5/2026 16:42:28</x:t>
  </x:si>
  <x:si>
    <x:t>Нажать “Войти“ без заполнения поля пароль</x:t>
  </x:si>
  <x:si>
    <x:t>Перехода не происходит, поле формы заполнения подсвечивается красным цветом, вход в аккаунт не выполнен</x:t>
  </x:si>
  <x:si>
    <x:t>6</x:t>
  </x:si>
  <x:si>
    <x:t>6/5/2026 16:58:23</x:t>
  </x:si>
  <x:si>
    <x:t>В поле Электронная почта ввести валидную почту с двумя пробелами по краям
borzoy_33@mail.ru</x:t>
  </x:si>
  <x:si>
    <x:t>Ввести валидный пароль, нажать “Войти“</x:t>
  </x:si>
  <x:si>
    <x:t>Происходит переход на главную страницу сайта, кнопка "Мой ЛК" отображается в шапке сайта</x:t>
  </x:si>
  <x:si>
    <x:t>7</x:t>
  </x:si>
  <x:si>
    <x:t>6/5/2026 17:03:10</x:t>
  </x:si>
  <x:si>
    <x:t>Ввести в поле пароль “streaky” Нажать “Войти“</x:t>
  </x:si>
  <x:si>
    <x:t>Отображается сообщение об ошибке валидации с текстом "Неверный пароль".</x:t>
  </x:si>
  <x:si>
    <x:t>8</x:t>
  </x:si>
  <x:si>
    <x:t>6/5/2026 17:10:15</x:t>
  </x:si>
  <x:si>
    <x:t>Ввести в поле пароль “stre aky098” Нажать “Войти“</x:t>
  </x:si>
  <x:si>
    <x:t>Отображается сообщение об ошибке валидации с текстом "Неверный пароль".
поле формы ввода пароля обновляется для повторного ввода</x:t>
  </x:si>
  <x:si>
    <x:t>9</x:t>
  </x:si>
  <x:si>
    <x:t>6/5/2026 17:16:09</x:t>
  </x:si>
  <x:si>
    <x:t>Ввести в поле пароль “STREAKY098” Нажать “Войти“</x:t>
  </x:si>
  <x:si>
    <x:t>11</x:t>
  </x:si>
  <x:si>
    <x:t>6/6/2026 13:00:49</x:t>
  </x:si>
  <x:si>
    <x:t>Ввести в поле пароль “ыекуфлн098” Нажать “Войти“</x:t>
  </x:si>
  <x:si>
    <x:t>Отображается сообщение о превышении количества попыток авторизоваться (капча)</x:t>
  </x:si>
  <x:si>
    <x:t>Ввести символы с капчи, нажать  “Подтвердить“</x:t>
  </x:si>
  <x:si>
    <x:t>отображается сообщение об ошибке валидации с текстом "Неверный пароль”</x:t>
  </x:si>
  <x:si>
    <x:t>10</x:t>
  </x:si>
  <x:si>
    <x:t>6/5/2026 17:25:59</x:t>
  </x:si>
  <x:si>
    <x:t>В поле Электронная почта без ввода почты нажать продолжить</x:t>
  </x:si>
  <x:si>
    <x:t>Форма не отправляется. Поле ввода «Электронная почта» подсвечивается красным цветом (индикация ошибки), фокус ввода (курсор) автоматически устанавливается в это поле.</x:t>
  </x:si>
  <x:si>
    <x:t>12</x:t>
  </x:si>
  <x:si>
    <x:t>6/6/2026 13:16:12</x:t>
  </x:si>
  <x:si>
    <x:t>13</x:t>
  </x:si>
  <x:si>
    <x:t>6/6/2026 13:21:11</x:t>
  </x:si>
  <x:si>
    <x:t>14</x:t>
  </x:si>
  <x:si>
    <x:t>6/6/2026 13:22:42</x:t>
  </x:si>
  <x:si>
    <x:t>15</x:t>
  </x:si>
  <x:si>
    <x:t>6/6/2026 13:27:35</x:t>
  </x:si>
  <x:si>
    <x:t>16</x:t>
  </x:si>
  <x:si>
    <x:t>6/6/2026 13:29:17</x:t>
  </x:si>
  <x:si>
    <x:t>17</x:t>
  </x:si>
  <x:si>
    <x:t>6/6/2026 13:31:55</x:t>
  </x:si>
  <x:si>
    <x:t>19</x:t>
  </x:si>
  <x:si>
    <x:t>6/6/2026 13:38:27</x:t>
  </x:si>
  <x:si>
    <x:t>В поле Электронная ввести два символа пробел</x:t>
  </x:si>
  <x:si>
    <x:t>В поле отображаются введенные пробелы, фокус остается в поле</x:t>
  </x:si>
  <x:si>
    <x:t>Нажать “Продолжить“</x:t>
  </x:si>
  <x:si>
    <x:t>Форма не отправляется. Поле ввода «Электронная почта» подсвечивается красным цветом (индикация ошибки), фокус ввода (курсор) автоматически устанавливается в начало ввода в поле.</x:t>
  </x:si>
  <x:si>
    <x:t>18</x:t>
  </x:si>
  <x:si>
    <x:t>6/6/2026 13:33:34</x:t>
  </x:si>
  <x:si>
    <x:t>20</x:t>
  </x:si>
  <x:si>
    <x:t>6/6/2026 13:44:10</x:t>
  </x:si>
  <x:si>
    <x:t>21</x:t>
  </x:si>
  <x:si>
    <x:t>6/6/2026 13:46:00</x:t>
  </x:si>
  <x:si>
    <x:t>авторизация, pairwise/кросбраузерное</x:t>
  </x:si>
  <x:si>
    <x:t>22</x:t>
  </x:si>
  <x:si>
    <x:t>6/6/2026 13:51:02</x:t>
  </x:si>
  <x:si>
    <x:t>23</x:t>
  </x:si>
  <x:si>
    <x:t>6/6/2026 13:53:53</x:t>
  </x:si>
  <x:si>
    <x:t>24</x:t>
  </x:si>
  <x:si>
    <x:t>6/6/2026 14:01:26</x:t>
  </x:si>
  <x:si>
    <x:t>25</x:t>
  </x:si>
  <x:si>
    <x:t>6/6/2026 14:02:48</x:t>
  </x:si>
  <x:si>
    <x:t>Email borzoy_@mail.ru не зарегистрирован в системе</x:t>
  </x:si>
  <x:si>
    <x:t>В поле Электронная ввести email без цифр borzoy_@mail.ru</x:t>
  </x:si>
  <x:si>
    <x:t>В поле отображаются введенные данные</x:t>
  </x:si>
  <x:si>
    <x:t>Сайт переходит на форму регистрации нового пользователя, считая данную почту не зарегистрированной в системе</x:t>
  </x:si>
  <x:si>
    <x:t>28</x:t>
  </x:si>
  <x:si>
    <x:t>6/6/2026 14:26:07</x:t>
  </x:si>
  <x:si>
    <x:t>27</x:t>
  </x:si>
  <x:si>
    <x:t>6/6/2026 14:25:14</x:t>
  </x:si>
  <x:si>
    <x:t>26</x:t>
  </x:si>
  <x:si>
    <x:t>6/6/2026 14:24:12</x:t>
  </x:si>
  <x:si>
    <x:t>29</x:t>
  </x:si>
  <x:si>
    <x:t>6/6/2026 14:30:13</x:t>
  </x:si>
  <x:si>
    <x:t>30</x:t>
  </x:si>
  <x:si>
    <x:t>6/6/2026 14:32:12</x:t>
  </x:si>
  <x:si>
    <x:t>31</x:t>
  </x:si>
  <x:si>
    <x:t>6/6/2026 14:33:52</x:t>
  </x:si>
  <x:si>
    <x:t>В поле Электронная почта ввести email с пробелом в середине:        borzoy_33 @mail.ru</x:t>
  </x:si>
  <x:si>
    <x:t>Форма блокирует отправку данных. Поле «Электронная почта» подсвечивается красным цветом (индикация ошибки), и под ним выводится сообщение о некорректном формате адреса.</x:t>
  </x:si>
  <x:si>
    <x:t>32</x:t>
  </x:si>
  <x:si>
    <x:t>6/6/2026 14:35:33</x:t>
  </x:si>
  <x:si>
    <x:t>33</x:t>
  </x:si>
  <x:si>
    <x:t>6/6/2026 14:46:43</x:t>
  </x:si>
  <x:si>
    <x:t>В поле Электронная почта ввести email с пробелом в середине borzoy_33@ mail.ru</x:t>
  </x:si>
  <x:si>
    <x:t>34</x:t>
  </x:si>
  <x:si>
    <x:t>6/6/2026 14:49:47</x:t>
  </x:si>
  <x:si>
    <x:t>Форма не отправляется. Поле ввода «Электронная почта» подсвечивается красным цветом (индикация ошибки)</x:t>
  </x:si>
  <x:si>
    <x:t>35</x:t>
  </x:si>
  <x:si>
    <x:t>6/6/2026 16:19:37</x:t>
  </x:si>
  <x:si>
    <x:t>36</x:t>
  </x:si>
  <x:si>
    <x:t>6/6/2026 16:21:21</x:t>
  </x:si>
  <x:si>
    <x:t>37</x:t>
  </x:si>
  <x:si>
    <x:t>6/6/2026 16:23:33</x:t>
  </x:si>
  <x:si>
    <x:t>38</x:t>
  </x:si>
  <x:si>
    <x:t>6/6/2026 16:24:38</x:t>
  </x:si>
  <x:si>
    <x:t>39</x:t>
  </x:si>
  <x:si>
    <x:t>6/6/2026 16:27:01</x:t>
  </x:si>
  <x:si>
    <x:t>40</x:t>
  </x:si>
  <x:si>
    <x:t>6/6/2026 16:28:53</x:t>
  </x:si>
  <x:si>
    <x:t>В поле Электронная почта ввести email с caps lock BORZOY_33@MAIL.RU</x:t>
  </x:si>
  <x:si>
    <x:t>происходит переход на форму заполнения пароля</x:t>
  </x:si>
  <x:si>
    <x:t>Ввести валидный пароль в поле  “streaky098“</x:t>
  </x:si>
  <x:si>
    <x:t>Нажать “Войти“</x:t>
  </x:si>
  <x:si>
    <x:t>41</x:t>
  </x:si>
  <x:si>
    <x:t>6/6/2026 16:38:11</x:t>
  </x:si>
  <x:si>
    <x:t>Не заполняя поле пароль нажать “Войти“</x:t>
  </x:si>
  <x:si>
    <x:t>42</x:t>
  </x:si>
  <x:si>
    <x:t>6/6/2026 16:43:37</x:t>
  </x:si>
  <x:si>
    <x:t>Ввести два символа пробел, нажать войти</x:t>
  </x:si>
  <x:si>
    <x:t>Перехода не происходит, поле формы заполнения пароля обновляется для повторного ввода, подсвечивается красным цветом, вход в аккаунт не выполнен</x:t>
  </x:si>
  <x:si>
    <x:t>43</x:t>
  </x:si>
  <x:si>
    <x:t>6/6/2026 16:46:39</x:t>
  </x:si>
  <x:si>
    <x:t>Ввести пароль без цифр “streaky“, нажать “Войти“</x:t>
  </x:si>
  <x:si>
    <x:t>44</x:t>
  </x:si>
  <x:si>
    <x:t>6/6/2026 16:49:50</x:t>
  </x:si>
  <x:si>
    <x:t>Ввести пароль с пробелом в середине “stre aky098“, нажать “Войти“</x:t>
  </x:si>
  <x:si>
    <x:t>45</x:t>
  </x:si>
  <x:si>
    <x:t>6/6/2026 16:51:50</x:t>
  </x:si>
  <x:si>
    <x:t>Ввести пароль с пробелом в середине “STREAKY098“, нажать “Войти“</x:t>
  </x:si>
  <x:si>
    <x:t>46</x:t>
  </x:si>
  <x:si>
    <x:t>6/6/2026 16:55:41</x:t>
  </x:si>
  <x:si>
    <x:t>pairwise/кроссбраузерное</x:t>
  </x:si>
  <x:si>
    <x:t>Ввести пароль с пробелом в середине “ыекуфлн098“, нажать “Войти“</x:t>
  </x:si>
  <x:si>
    <x:t>Ввести символы с капчи, нажать “подтвердить“</x:t>
  </x:si>
  <x:si>
    <x:t>47</x:t>
  </x:si>
  <x:si>
    <x:t>6/6/2026 17:06:31</x:t>
  </x:si>
  <x:si>
    <x:t>В поле Электронная почта ввести email кириллицей “ищкящн_33”ьфшдюкг“</x:t>
  </x:si>
  <x:si>
    <x:t>48</x:t>
  </x:si>
  <x:si>
    <x:t>6/6/2026 17:11:51</x:t>
  </x:si>
  <x:si>
    <x:t>49</x:t>
  </x:si>
  <x:si>
    <x:t>6/6/2026 17:12:42</x:t>
  </x:si>
  <x:si>
    <x:t>50</x:t>
  </x:si>
  <x:si>
    <x:t>6/6/2026 17:13:57</x:t>
  </x:si>
  <x:si>
    <x:t>51</x:t>
  </x:si>
  <x:si>
    <x:t>6/6/2026 17:15:05</x:t>
  </x:si>
  <x:si>
    <x:t>52</x:t>
  </x:si>
  <x:si>
    <x:t>6/6/2026 17:17:05</x:t>
  </x:si>
  <x:si>
    <x:t>53</x:t>
  </x:si>
  <x:si>
    <x:t>6/6/2026 17:17:56</x:t>
  </x:si>
  <x:si>
    <x:t>216</x:t>
  </x:si>
  <x:si>
    <x:t>6/24/2026 15:23:25</x:t>
  </x:si>
  <x:si>
    <x:t>авторизация, восстановление пароля</x:t>
  </x:si>
  <x:si>
    <x:t>В поле Электронная почта ввести валидный email  “borzoy_33@mail.ru“</x:t>
  </x:si>
  <x:si>
    <x:t>Происходит переход на окно ввода пароля</x:t>
  </x:si>
  <x:si>
    <x:t>Нажать кнопку “Забыли пароль?“</x:t>
  </x:si>
  <x:si>
    <x:t>Отображается модальное окно с текстом: «На указанный при регистрации E-mail было выслано сообщение. Проверьте почту и следуйте полученной инструкции». На почту пользователя приходит письмо со ссылкой на сброс пароля.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</x:si>
</x:sst>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325" totalsRowShown="0">
  <x:autoFilter ref="A1:Q32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2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20.853482" style="1" customWidth="1"/>
    <x:col min="14" max="15" width="18.139196" style="1" customWidth="1"/>
    <x:col min="16" max="16" width="16.139196" style="1" customWidth="1"/>
    <x:col min="17" max="17" width="38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HYPERLINK("https://team-oisq.testit.software/projects/1/tests/4", "Проверка авторизации с валидными email и паролем")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30</x:v>
      </x:c>
      <x:c r="F5" s="1" t="s">
        <x:v>20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1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40</x:v>
      </x:c>
      <x:c r="B10" s="2" t="s">
        <x:v>18</x:v>
      </x:c>
      <x:c r="C10" s="2">
        <x:f>HYPERLINK("https://team-oisq.testit.software/projects/1/tests/5", "Проверка авторизации с валидным email и пустым паролем")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41</x:v>
      </x:c>
      <x:c r="O10" s="1" t="s">
        <x:v>24</x:v>
      </x:c>
      <x:c r="P10" s="1" t="s">
        <x:v>25</x:v>
      </x:c>
      <x:c r="Q10" s="1" t="s">
        <x:v>26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27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28</x:v>
      </x:c>
      <x:c r="F12" s="1" t="s">
        <x:v>20</x:v>
      </x:c>
      <x:c r="G12" s="1" t="s">
        <x:v>20</x:v>
      </x:c>
      <x:c r="H12" s="1" t="s">
        <x:v>29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30</x:v>
      </x:c>
      <x:c r="F13" s="1" t="s">
        <x:v>20</x:v>
      </x:c>
      <x:c r="G13" s="1" t="s">
        <x:v>20</x:v>
      </x:c>
      <x:c r="H13" s="1" t="s">
        <x:v>31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2" t="s">
        <x:v>32</x:v>
      </x:c>
      <x:c r="G14" s="1" t="s">
        <x:v>20</x:v>
      </x:c>
      <x:c r="H14" s="1" t="s">
        <x:v>33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34</x:v>
      </x:c>
      <x:c r="G15" s="1" t="s">
        <x:v>20</x:v>
      </x:c>
      <x:c r="H15" s="1" t="s">
        <x:v>35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42</x:v>
      </x:c>
      <x:c r="G16" s="1" t="s">
        <x:v>20</x:v>
      </x:c>
      <x:c r="H16" s="1" t="s">
        <x:v>43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44</x:v>
      </x:c>
      <x:c r="B17" s="2" t="s">
        <x:v>18</x:v>
      </x:c>
      <x:c r="C17" s="2">
        <x:f>HYPERLINK("https://team-oisq.testit.software/projects/1/tests/6", "Проверка авторизации с валидным email (пробелы по краям) + валидный пароль ")</x:f>
      </x:c>
      <x:c r="D17" s="1" t="s">
        <x:v>19</x:v>
      </x:c>
      <x:c r="E17" s="1" t="s">
        <x:v>20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21</x:v>
      </x:c>
      <x:c r="M17" s="1" t="s">
        <x:v>22</x:v>
      </x:c>
      <x:c r="N17" s="1" t="s">
        <x:v>45</x:v>
      </x:c>
      <x:c r="O17" s="1" t="s">
        <x:v>24</x:v>
      </x:c>
      <x:c r="P17" s="1" t="s">
        <x:v>25</x:v>
      </x:c>
      <x:c r="Q17" s="1" t="s">
        <x:v>26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27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28</x:v>
      </x:c>
      <x:c r="F19" s="1" t="s">
        <x:v>20</x:v>
      </x:c>
      <x:c r="G19" s="1" t="s">
        <x:v>20</x:v>
      </x:c>
      <x:c r="H19" s="1" t="s">
        <x:v>29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30</x:v>
      </x:c>
      <x:c r="F20" s="1" t="s">
        <x:v>20</x:v>
      </x:c>
      <x:c r="G20" s="1" t="s">
        <x:v>20</x:v>
      </x:c>
      <x:c r="H20" s="1" t="s">
        <x:v>31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2" t="s">
        <x:v>46</x:v>
      </x:c>
      <x:c r="G21" s="1" t="s">
        <x:v>20</x:v>
      </x:c>
      <x:c r="H21" s="1" t="s">
        <x:v>33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34</x:v>
      </x:c>
      <x:c r="G22" s="1" t="s">
        <x:v>20</x:v>
      </x:c>
      <x:c r="H22" s="1" t="s">
        <x:v>35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47</x:v>
      </x:c>
      <x:c r="G23" s="1" t="s">
        <x:v>20</x:v>
      </x:c>
      <x:c r="H23" s="1" t="s">
        <x:v>48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49</x:v>
      </x:c>
      <x:c r="B24" s="2" t="s">
        <x:v>18</x:v>
      </x:c>
      <x:c r="C24" s="2">
        <x:f>HYPERLINK("https://team-oisq.testit.software/projects/1/tests/7", "Проверка авторизации с валидным email и паролем без цифр")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50</x:v>
      </x:c>
      <x:c r="O24" s="1" t="s">
        <x:v>24</x:v>
      </x:c>
      <x:c r="P24" s="1" t="s">
        <x:v>25</x:v>
      </x:c>
      <x:c r="Q24" s="1" t="s">
        <x:v>26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27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28</x:v>
      </x:c>
      <x:c r="F26" s="1" t="s">
        <x:v>20</x:v>
      </x:c>
      <x:c r="G26" s="1" t="s">
        <x:v>20</x:v>
      </x:c>
      <x:c r="H26" s="1" t="s">
        <x:v>29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30</x:v>
      </x:c>
      <x:c r="F27" s="1" t="s">
        <x:v>20</x:v>
      </x:c>
      <x:c r="G27" s="1" t="s">
        <x:v>20</x:v>
      </x:c>
      <x:c r="H27" s="1" t="s">
        <x:v>31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2" t="s">
        <x:v>32</x:v>
      </x:c>
      <x:c r="G28" s="1" t="s">
        <x:v>20</x:v>
      </x:c>
      <x:c r="H28" s="1" t="s">
        <x:v>33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34</x:v>
      </x:c>
      <x:c r="G29" s="1" t="s">
        <x:v>20</x:v>
      </x:c>
      <x:c r="H29" s="1" t="s">
        <x:v>35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51</x:v>
      </x:c>
      <x:c r="G30" s="1" t="s">
        <x:v>20</x:v>
      </x:c>
      <x:c r="H30" s="1" t="s">
        <x:v>52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53</x:v>
      </x:c>
      <x:c r="B31" s="2" t="s">
        <x:v>18</x:v>
      </x:c>
      <x:c r="C31" s="2">
        <x:f>HYPERLINK("https://team-oisq.testit.software/projects/1/tests/8", "Проверка авторизации с валидным email и пробелом в середине пароля")</x:f>
      </x:c>
      <x:c r="D31" s="1" t="s">
        <x:v>19</x:v>
      </x:c>
      <x:c r="E31" s="1" t="s">
        <x:v>20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21</x:v>
      </x:c>
      <x:c r="M31" s="1" t="s">
        <x:v>22</x:v>
      </x:c>
      <x:c r="N31" s="1" t="s">
        <x:v>54</x:v>
      </x:c>
      <x:c r="O31" s="1" t="s">
        <x:v>24</x:v>
      </x:c>
      <x:c r="P31" s="1" t="s">
        <x:v>25</x:v>
      </x:c>
      <x:c r="Q31" s="1" t="s">
        <x:v>26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27</x:v>
      </x:c>
      <x:c r="F32" s="1" t="s">
        <x:v>20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28</x:v>
      </x:c>
      <x:c r="F33" s="1" t="s">
        <x:v>20</x:v>
      </x:c>
      <x:c r="G33" s="1" t="s">
        <x:v>20</x:v>
      </x:c>
      <x:c r="H33" s="1" t="s">
        <x:v>29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30</x:v>
      </x:c>
      <x:c r="F34" s="1" t="s">
        <x:v>20</x:v>
      </x:c>
      <x:c r="G34" s="1" t="s">
        <x:v>20</x:v>
      </x:c>
      <x:c r="H34" s="1" t="s">
        <x:v>31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2" t="s">
        <x:v>32</x:v>
      </x:c>
      <x:c r="G35" s="1" t="s">
        <x:v>20</x:v>
      </x:c>
      <x:c r="H35" s="1" t="s">
        <x:v>33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34</x:v>
      </x:c>
      <x:c r="G36" s="1" t="s">
        <x:v>20</x:v>
      </x:c>
      <x:c r="H36" s="1" t="s">
        <x:v>35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55</x:v>
      </x:c>
      <x:c r="G37" s="1" t="s">
        <x:v>20</x:v>
      </x:c>
      <x:c r="H37" s="2" t="s">
        <x:v>56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57</x:v>
      </x:c>
      <x:c r="B38" s="2" t="s">
        <x:v>18</x:v>
      </x:c>
      <x:c r="C38" s="2">
        <x:f>HYPERLINK("https://team-oisq.testit.software/projects/1/tests/9", "Проверка авторизации с валидным email и паролем введённым с caps lock")</x:f>
      </x:c>
      <x:c r="D38" s="1" t="s">
        <x:v>19</x:v>
      </x:c>
      <x:c r="E38" s="1" t="s">
        <x:v>20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21</x:v>
      </x:c>
      <x:c r="M38" s="1" t="s">
        <x:v>22</x:v>
      </x:c>
      <x:c r="N38" s="1" t="s">
        <x:v>58</x:v>
      </x:c>
      <x:c r="O38" s="1" t="s">
        <x:v>24</x:v>
      </x:c>
      <x:c r="P38" s="1" t="s">
        <x:v>25</x:v>
      </x:c>
      <x:c r="Q38" s="1" t="s">
        <x:v>26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27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28</x:v>
      </x:c>
      <x:c r="F40" s="1" t="s">
        <x:v>20</x:v>
      </x:c>
      <x:c r="G40" s="1" t="s">
        <x:v>20</x:v>
      </x:c>
      <x:c r="H40" s="1" t="s">
        <x:v>29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30</x:v>
      </x:c>
      <x:c r="F41" s="1" t="s">
        <x:v>20</x:v>
      </x:c>
      <x:c r="G41" s="1" t="s">
        <x:v>20</x:v>
      </x:c>
      <x:c r="H41" s="1" t="s">
        <x:v>31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2" t="s">
        <x:v>32</x:v>
      </x:c>
      <x:c r="G42" s="1" t="s">
        <x:v>20</x:v>
      </x:c>
      <x:c r="H42" s="1" t="s">
        <x:v>33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34</x:v>
      </x:c>
      <x:c r="G43" s="1" t="s">
        <x:v>20</x:v>
      </x:c>
      <x:c r="H43" s="1" t="s">
        <x:v>35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59</x:v>
      </x:c>
      <x:c r="G44" s="1" t="s">
        <x:v>20</x:v>
      </x:c>
      <x:c r="H44" s="2" t="s">
        <x:v>56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60</x:v>
      </x:c>
      <x:c r="B45" s="2" t="s">
        <x:v>18</x:v>
      </x:c>
      <x:c r="C45" s="2">
        <x:f>HYPERLINK("https://team-oisq.testit.software/projects/1/tests/11", "Проверка авторизации с валидным email и паролем введённым кириллицей")</x:f>
      </x:c>
      <x:c r="D45" s="1" t="s">
        <x:v>19</x:v>
      </x:c>
      <x:c r="E45" s="1" t="s">
        <x:v>20</x:v>
      </x:c>
      <x:c r="F45" s="1" t="s">
        <x:v>20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21</x:v>
      </x:c>
      <x:c r="M45" s="1" t="s">
        <x:v>22</x:v>
      </x:c>
      <x:c r="N45" s="1" t="s">
        <x:v>61</x:v>
      </x:c>
      <x:c r="O45" s="1" t="s">
        <x:v>24</x:v>
      </x:c>
      <x:c r="P45" s="1" t="s">
        <x:v>25</x:v>
      </x:c>
      <x:c r="Q45" s="1" t="s">
        <x:v>26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27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28</x:v>
      </x:c>
      <x:c r="F47" s="1" t="s">
        <x:v>20</x:v>
      </x:c>
      <x:c r="G47" s="1" t="s">
        <x:v>20</x:v>
      </x:c>
      <x:c r="H47" s="1" t="s">
        <x:v>29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30</x:v>
      </x:c>
      <x:c r="F48" s="1" t="s">
        <x:v>20</x:v>
      </x:c>
      <x:c r="G48" s="1" t="s">
        <x:v>20</x:v>
      </x:c>
      <x:c r="H48" s="1" t="s">
        <x:v>31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2" t="s">
        <x:v>32</x:v>
      </x:c>
      <x:c r="G49" s="1" t="s">
        <x:v>20</x:v>
      </x:c>
      <x:c r="H49" s="1" t="s">
        <x:v>33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34</x:v>
      </x:c>
      <x:c r="G50" s="1" t="s">
        <x:v>20</x:v>
      </x:c>
      <x:c r="H50" s="1" t="s">
        <x:v>35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62</x:v>
      </x:c>
      <x:c r="G51" s="1" t="s">
        <x:v>20</x:v>
      </x:c>
      <x:c r="H51" s="1" t="s">
        <x:v>63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64</x:v>
      </x:c>
      <x:c r="G52" s="1" t="s">
        <x:v>20</x:v>
      </x:c>
      <x:c r="H52" s="1" t="s">
        <x:v>65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66</x:v>
      </x:c>
      <x:c r="B53" s="2" t="s">
        <x:v>18</x:v>
      </x:c>
      <x:c r="C53" s="2">
        <x:f>HYPERLINK("https://team-oisq.testit.software/projects/1/tests/10", "Проверка авторизации с пустым email и валидным паролем")</x:f>
      </x:c>
      <x:c r="D53" s="1" t="s">
        <x:v>19</x:v>
      </x:c>
      <x:c r="E53" s="1" t="s">
        <x:v>20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21</x:v>
      </x:c>
      <x:c r="M53" s="1" t="s">
        <x:v>22</x:v>
      </x:c>
      <x:c r="N53" s="1" t="s">
        <x:v>67</x:v>
      </x:c>
      <x:c r="O53" s="1" t="s">
        <x:v>24</x:v>
      </x:c>
      <x:c r="P53" s="1" t="s">
        <x:v>25</x:v>
      </x:c>
      <x:c r="Q53" s="1" t="s">
        <x:v>26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27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28</x:v>
      </x:c>
      <x:c r="F55" s="1" t="s">
        <x:v>20</x:v>
      </x:c>
      <x:c r="G55" s="1" t="s">
        <x:v>20</x:v>
      </x:c>
      <x:c r="H55" s="1" t="s">
        <x:v>29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30</x:v>
      </x:c>
      <x:c r="F56" s="1" t="s">
        <x:v>20</x:v>
      </x:c>
      <x:c r="G56" s="1" t="s">
        <x:v>20</x:v>
      </x:c>
      <x:c r="H56" s="1" t="s">
        <x:v>31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68</x:v>
      </x:c>
      <x:c r="G57" s="1" t="s">
        <x:v>20</x:v>
      </x:c>
      <x:c r="H57" s="1" t="s">
        <x:v>69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70</x:v>
      </x:c>
      <x:c r="B58" s="2" t="s">
        <x:v>18</x:v>
      </x:c>
      <x:c r="C58" s="2">
        <x:f>HYPERLINK("https://team-oisq.testit.software/projects/1/tests/12", "Проверка авторизации с пустым email и двумя пробелами в поле пароль")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21</x:v>
      </x:c>
      <x:c r="M58" s="1" t="s">
        <x:v>22</x:v>
      </x:c>
      <x:c r="N58" s="1" t="s">
        <x:v>71</x:v>
      </x:c>
      <x:c r="O58" s="1" t="s">
        <x:v>24</x:v>
      </x:c>
      <x:c r="P58" s="1" t="s">
        <x:v>25</x:v>
      </x:c>
      <x:c r="Q58" s="1" t="s">
        <x:v>26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27</x:v>
      </x:c>
      <x:c r="F59" s="1" t="s">
        <x:v>20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28</x:v>
      </x:c>
      <x:c r="F60" s="1" t="s">
        <x:v>20</x:v>
      </x:c>
      <x:c r="G60" s="1" t="s">
        <x:v>20</x:v>
      </x:c>
      <x:c r="H60" s="1" t="s">
        <x:v>29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30</x:v>
      </x:c>
      <x:c r="F61" s="1" t="s">
        <x:v>20</x:v>
      </x:c>
      <x:c r="G61" s="1" t="s">
        <x:v>20</x:v>
      </x:c>
      <x:c r="H61" s="1" t="s">
        <x:v>31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68</x:v>
      </x:c>
      <x:c r="G62" s="1" t="s">
        <x:v>20</x:v>
      </x:c>
      <x:c r="H62" s="1" t="s">
        <x:v>69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72</x:v>
      </x:c>
      <x:c r="B63" s="2" t="s">
        <x:v>18</x:v>
      </x:c>
      <x:c r="C63" s="2">
        <x:f>HYPERLINK("https://team-oisq.testit.software/projects/1/tests/13", "Проверка авторизации с пустым email и паролем, введённым без цифр")</x:f>
      </x:c>
      <x:c r="D63" s="1" t="s">
        <x:v>19</x:v>
      </x:c>
      <x:c r="E63" s="1" t="s">
        <x:v>20</x:v>
      </x:c>
      <x:c r="F63" s="1" t="s">
        <x:v>20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21</x:v>
      </x:c>
      <x:c r="M63" s="1" t="s">
        <x:v>22</x:v>
      </x:c>
      <x:c r="N63" s="1" t="s">
        <x:v>73</x:v>
      </x:c>
      <x:c r="O63" s="1" t="s">
        <x:v>24</x:v>
      </x:c>
      <x:c r="P63" s="1" t="s">
        <x:v>25</x:v>
      </x:c>
      <x:c r="Q63" s="1" t="s">
        <x:v>26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27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28</x:v>
      </x:c>
      <x:c r="F65" s="1" t="s">
        <x:v>20</x:v>
      </x:c>
      <x:c r="G65" s="1" t="s">
        <x:v>20</x:v>
      </x:c>
      <x:c r="H65" s="1" t="s">
        <x:v>29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30</x:v>
      </x:c>
      <x:c r="F66" s="1" t="s">
        <x:v>20</x:v>
      </x:c>
      <x:c r="G66" s="1" t="s">
        <x:v>20</x:v>
      </x:c>
      <x:c r="H66" s="1" t="s">
        <x:v>31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68</x:v>
      </x:c>
      <x:c r="G67" s="1" t="s">
        <x:v>20</x:v>
      </x:c>
      <x:c r="H67" s="1" t="s">
        <x:v>69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74</x:v>
      </x:c>
      <x:c r="B68" s="2" t="s">
        <x:v>18</x:v>
      </x:c>
      <x:c r="C68" s="2">
        <x:f>HYPERLINK("https://team-oisq.testit.software/projects/1/tests/14", "Проверка авторизации с пустым email и пустым паролем")</x:f>
      </x:c>
      <x:c r="D68" s="1" t="s">
        <x:v>19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21</x:v>
      </x:c>
      <x:c r="M68" s="1" t="s">
        <x:v>22</x:v>
      </x:c>
      <x:c r="N68" s="1" t="s">
        <x:v>75</x:v>
      </x:c>
      <x:c r="O68" s="1" t="s">
        <x:v>24</x:v>
      </x:c>
      <x:c r="P68" s="1" t="s">
        <x:v>25</x:v>
      </x:c>
      <x:c r="Q68" s="1" t="s">
        <x:v>26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27</x:v>
      </x:c>
      <x:c r="F69" s="1" t="s">
        <x:v>20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28</x:v>
      </x:c>
      <x:c r="F70" s="1" t="s">
        <x:v>20</x:v>
      </x:c>
      <x:c r="G70" s="1" t="s">
        <x:v>20</x:v>
      </x:c>
      <x:c r="H70" s="1" t="s">
        <x:v>29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30</x:v>
      </x:c>
      <x:c r="F71" s="1" t="s">
        <x:v>20</x:v>
      </x:c>
      <x:c r="G71" s="1" t="s">
        <x:v>20</x:v>
      </x:c>
      <x:c r="H71" s="1" t="s">
        <x:v>31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68</x:v>
      </x:c>
      <x:c r="G72" s="1" t="s">
        <x:v>20</x:v>
      </x:c>
      <x:c r="H72" s="1" t="s">
        <x:v>69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76</x:v>
      </x:c>
      <x:c r="B73" s="2" t="s">
        <x:v>18</x:v>
      </x:c>
      <x:c r="C73" s="2">
        <x:f>HYPERLINK("https://team-oisq.testit.software/projects/1/tests/15", "Проверка авторизации с пустым email и пробелом, введённым в середине пароля")</x:f>
      </x:c>
      <x:c r="D73" s="1" t="s">
        <x:v>19</x:v>
      </x:c>
      <x:c r="E73" s="1" t="s">
        <x:v>20</x:v>
      </x:c>
      <x:c r="F73" s="1" t="s">
        <x:v>20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21</x:v>
      </x:c>
      <x:c r="M73" s="1" t="s">
        <x:v>22</x:v>
      </x:c>
      <x:c r="N73" s="1" t="s">
        <x:v>77</x:v>
      </x:c>
      <x:c r="O73" s="1" t="s">
        <x:v>24</x:v>
      </x:c>
      <x:c r="P73" s="1" t="s">
        <x:v>25</x:v>
      </x:c>
      <x:c r="Q73" s="1" t="s">
        <x:v>26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27</x:v>
      </x:c>
      <x:c r="F74" s="1" t="s">
        <x:v>20</x:v>
      </x:c>
      <x:c r="G74" s="1" t="s">
        <x:v>20</x:v>
      </x:c>
      <x:c r="H74" s="1" t="s">
        <x:v>20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28</x:v>
      </x:c>
      <x:c r="F75" s="1" t="s">
        <x:v>20</x:v>
      </x:c>
      <x:c r="G75" s="1" t="s">
        <x:v>20</x:v>
      </x:c>
      <x:c r="H75" s="1" t="s">
        <x:v>29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30</x:v>
      </x:c>
      <x:c r="F76" s="1" t="s">
        <x:v>20</x:v>
      </x:c>
      <x:c r="G76" s="1" t="s">
        <x:v>20</x:v>
      </x:c>
      <x:c r="H76" s="1" t="s">
        <x:v>31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68</x:v>
      </x:c>
      <x:c r="G77" s="1" t="s">
        <x:v>20</x:v>
      </x:c>
      <x:c r="H77" s="1" t="s">
        <x:v>69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78</x:v>
      </x:c>
      <x:c r="B78" s="2" t="s">
        <x:v>18</x:v>
      </x:c>
      <x:c r="C78" s="2">
        <x:f>HYPERLINK("https://team-oisq.testit.software/projects/1/tests/16", "Проверка авторизации с пустым email и паролем, введённым с caps lock")</x:f>
      </x:c>
      <x:c r="D78" s="1" t="s">
        <x:v>19</x:v>
      </x:c>
      <x:c r="E78" s="1" t="s">
        <x:v>20</x:v>
      </x:c>
      <x:c r="F78" s="1" t="s">
        <x:v>20</x:v>
      </x:c>
      <x:c r="G78" s="1" t="s">
        <x:v>20</x:v>
      </x:c>
      <x:c r="H78" s="1" t="s">
        <x:v>20</x:v>
      </x:c>
      <x:c r="I78" s="1" t="s">
        <x:v>20</x:v>
      </x:c>
      <x:c r="J78" s="1" t="s">
        <x:v>20</x:v>
      </x:c>
      <x:c r="K78" s="1" t="s">
        <x:v>20</x:v>
      </x:c>
      <x:c r="L78" s="1" t="s">
        <x:v>21</x:v>
      </x:c>
      <x:c r="M78" s="1" t="s">
        <x:v>22</x:v>
      </x:c>
      <x:c r="N78" s="1" t="s">
        <x:v>79</x:v>
      </x:c>
      <x:c r="O78" s="1" t="s">
        <x:v>24</x:v>
      </x:c>
      <x:c r="P78" s="1" t="s">
        <x:v>25</x:v>
      </x:c>
      <x:c r="Q78" s="1" t="s">
        <x:v>26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27</x:v>
      </x:c>
      <x:c r="F79" s="1" t="s">
        <x:v>20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28</x:v>
      </x:c>
      <x:c r="F80" s="1" t="s">
        <x:v>20</x:v>
      </x:c>
      <x:c r="G80" s="1" t="s">
        <x:v>20</x:v>
      </x:c>
      <x:c r="H80" s="1" t="s">
        <x:v>29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30</x:v>
      </x:c>
      <x:c r="F81" s="1" t="s">
        <x:v>20</x:v>
      </x:c>
      <x:c r="G81" s="1" t="s">
        <x:v>20</x:v>
      </x:c>
      <x:c r="H81" s="1" t="s">
        <x:v>31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68</x:v>
      </x:c>
      <x:c r="G82" s="1" t="s">
        <x:v>20</x:v>
      </x:c>
      <x:c r="H82" s="1" t="s">
        <x:v>69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80</x:v>
      </x:c>
      <x:c r="B83" s="2" t="s">
        <x:v>18</x:v>
      </x:c>
      <x:c r="C83" s="2">
        <x:f>HYPERLINK("https://team-oisq.testit.software/projects/1/tests/17", "Проверка авторизации с пустым email и паролем, введённым кириллицей")</x:f>
      </x:c>
      <x:c r="D83" s="1" t="s">
        <x:v>19</x:v>
      </x:c>
      <x:c r="E83" s="1" t="s">
        <x:v>20</x:v>
      </x:c>
      <x:c r="F83" s="1" t="s">
        <x:v>20</x:v>
      </x:c>
      <x:c r="G83" s="1" t="s">
        <x:v>20</x:v>
      </x:c>
      <x:c r="H83" s="1" t="s">
        <x:v>20</x:v>
      </x:c>
      <x:c r="I83" s="1" t="s">
        <x:v>20</x:v>
      </x:c>
      <x:c r="J83" s="1" t="s">
        <x:v>20</x:v>
      </x:c>
      <x:c r="K83" s="1" t="s">
        <x:v>20</x:v>
      </x:c>
      <x:c r="L83" s="1" t="s">
        <x:v>21</x:v>
      </x:c>
      <x:c r="M83" s="1" t="s">
        <x:v>22</x:v>
      </x:c>
      <x:c r="N83" s="1" t="s">
        <x:v>81</x:v>
      </x:c>
      <x:c r="O83" s="1" t="s">
        <x:v>24</x:v>
      </x:c>
      <x:c r="P83" s="1" t="s">
        <x:v>25</x:v>
      </x:c>
      <x:c r="Q83" s="1" t="s">
        <x:v>26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27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28</x:v>
      </x:c>
      <x:c r="F85" s="1" t="s">
        <x:v>20</x:v>
      </x:c>
      <x:c r="G85" s="1" t="s">
        <x:v>20</x:v>
      </x:c>
      <x:c r="H85" s="1" t="s">
        <x:v>29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30</x:v>
      </x:c>
      <x:c r="F86" s="1" t="s">
        <x:v>20</x:v>
      </x:c>
      <x:c r="G86" s="1" t="s">
        <x:v>20</x:v>
      </x:c>
      <x:c r="H86" s="1" t="s">
        <x:v>31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68</x:v>
      </x:c>
      <x:c r="G87" s="1" t="s">
        <x:v>20</x:v>
      </x:c>
      <x:c r="H87" s="1" t="s">
        <x:v>69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82</x:v>
      </x:c>
      <x:c r="B88" s="2" t="s">
        <x:v>18</x:v>
      </x:c>
      <x:c r="C88" s="2">
        <x:f>HYPERLINK("https://team-oisq.testit.software/projects/1/tests/19", "Проверка авторизации с двумя пробелами в поле email и валидным паролем")</x:f>
      </x:c>
      <x:c r="D88" s="1" t="s">
        <x:v>19</x:v>
      </x:c>
      <x:c r="E88" s="1" t="s">
        <x:v>20</x:v>
      </x:c>
      <x:c r="F88" s="1" t="s">
        <x:v>20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21</x:v>
      </x:c>
      <x:c r="M88" s="1" t="s">
        <x:v>22</x:v>
      </x:c>
      <x:c r="N88" s="1" t="s">
        <x:v>83</x:v>
      </x:c>
      <x:c r="O88" s="1" t="s">
        <x:v>24</x:v>
      </x:c>
      <x:c r="P88" s="1" t="s">
        <x:v>25</x:v>
      </x:c>
      <x:c r="Q88" s="1" t="s">
        <x:v>26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27</x:v>
      </x:c>
      <x:c r="F89" s="1" t="s">
        <x:v>20</x:v>
      </x:c>
      <x:c r="G89" s="1" t="s">
        <x:v>20</x:v>
      </x:c>
      <x:c r="H89" s="1" t="s">
        <x:v>20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28</x:v>
      </x:c>
      <x:c r="F90" s="1" t="s">
        <x:v>20</x:v>
      </x:c>
      <x:c r="G90" s="1" t="s">
        <x:v>20</x:v>
      </x:c>
      <x:c r="H90" s="1" t="s">
        <x:v>29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30</x:v>
      </x:c>
      <x:c r="F91" s="1" t="s">
        <x:v>20</x:v>
      </x:c>
      <x:c r="G91" s="1" t="s">
        <x:v>20</x:v>
      </x:c>
      <x:c r="H91" s="1" t="s">
        <x:v>31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84</x:v>
      </x:c>
      <x:c r="G92" s="1" t="s">
        <x:v>20</x:v>
      </x:c>
      <x:c r="H92" s="1" t="s">
        <x:v>85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86</x:v>
      </x:c>
      <x:c r="G93" s="1" t="s">
        <x:v>20</x:v>
      </x:c>
      <x:c r="H93" s="1" t="s">
        <x:v>87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88</x:v>
      </x:c>
      <x:c r="B94" s="2" t="s">
        <x:v>18</x:v>
      </x:c>
      <x:c r="C94" s="2">
        <x:f>HYPERLINK("https://team-oisq.testit.software/projects/1/tests/18", "Проверка авторизации с двумя пробелами в поле email и двумя пробелами в поле пароль")</x:f>
      </x:c>
      <x:c r="D94" s="1" t="s">
        <x:v>19</x:v>
      </x:c>
      <x:c r="E94" s="1" t="s">
        <x:v>20</x:v>
      </x:c>
      <x:c r="F94" s="1" t="s">
        <x:v>20</x:v>
      </x:c>
      <x:c r="G94" s="1" t="s">
        <x:v>20</x:v>
      </x:c>
      <x:c r="H94" s="1" t="s">
        <x:v>20</x:v>
      </x:c>
      <x:c r="I94" s="1" t="s">
        <x:v>20</x:v>
      </x:c>
      <x:c r="J94" s="1" t="s">
        <x:v>20</x:v>
      </x:c>
      <x:c r="K94" s="1" t="s">
        <x:v>20</x:v>
      </x:c>
      <x:c r="L94" s="1" t="s">
        <x:v>21</x:v>
      </x:c>
      <x:c r="M94" s="1" t="s">
        <x:v>22</x:v>
      </x:c>
      <x:c r="N94" s="1" t="s">
        <x:v>89</x:v>
      </x:c>
      <x:c r="O94" s="1" t="s">
        <x:v>24</x:v>
      </x:c>
      <x:c r="P94" s="1" t="s">
        <x:v>25</x:v>
      </x:c>
      <x:c r="Q94" s="1" t="s">
        <x:v>26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27</x:v>
      </x:c>
      <x:c r="F95" s="1" t="s">
        <x:v>20</x:v>
      </x:c>
      <x:c r="G95" s="1" t="s">
        <x:v>20</x:v>
      </x:c>
      <x:c r="H95" s="1" t="s">
        <x:v>20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28</x:v>
      </x:c>
      <x:c r="F96" s="1" t="s">
        <x:v>20</x:v>
      </x:c>
      <x:c r="G96" s="1" t="s">
        <x:v>20</x:v>
      </x:c>
      <x:c r="H96" s="1" t="s">
        <x:v>29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30</x:v>
      </x:c>
      <x:c r="F97" s="1" t="s">
        <x:v>20</x:v>
      </x:c>
      <x:c r="G97" s="1" t="s">
        <x:v>20</x:v>
      </x:c>
      <x:c r="H97" s="1" t="s">
        <x:v>31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84</x:v>
      </x:c>
      <x:c r="G98" s="1" t="s">
        <x:v>20</x:v>
      </x:c>
      <x:c r="H98" s="1" t="s">
        <x:v>85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86</x:v>
      </x:c>
      <x:c r="G99" s="1" t="s">
        <x:v>20</x:v>
      </x:c>
      <x:c r="H99" s="1" t="s">
        <x:v>87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90</x:v>
      </x:c>
      <x:c r="B100" s="2" t="s">
        <x:v>18</x:v>
      </x:c>
      <x:c r="C100" s="2">
        <x:f>HYPERLINK("https://team-oisq.testit.software/projects/1/tests/20", "Проверка авторизации с двумя пробелами в поле email и пустым паролем")</x:f>
      </x:c>
      <x:c r="D100" s="1" t="s">
        <x:v>19</x:v>
      </x:c>
      <x:c r="E100" s="1" t="s">
        <x:v>20</x:v>
      </x:c>
      <x:c r="F100" s="1" t="s">
        <x:v>20</x:v>
      </x:c>
      <x:c r="G100" s="1" t="s">
        <x:v>20</x:v>
      </x:c>
      <x:c r="H100" s="1" t="s">
        <x:v>20</x:v>
      </x:c>
      <x:c r="I100" s="1" t="s">
        <x:v>20</x:v>
      </x:c>
      <x:c r="J100" s="1" t="s">
        <x:v>20</x:v>
      </x:c>
      <x:c r="K100" s="1" t="s">
        <x:v>20</x:v>
      </x:c>
      <x:c r="L100" s="1" t="s">
        <x:v>21</x:v>
      </x:c>
      <x:c r="M100" s="1" t="s">
        <x:v>22</x:v>
      </x:c>
      <x:c r="N100" s="1" t="s">
        <x:v>91</x:v>
      </x:c>
      <x:c r="O100" s="1" t="s">
        <x:v>24</x:v>
      </x:c>
      <x:c r="P100" s="1" t="s">
        <x:v>25</x:v>
      </x:c>
      <x:c r="Q100" s="1" t="s">
        <x:v>26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27</x:v>
      </x:c>
      <x:c r="F101" s="1" t="s">
        <x:v>20</x:v>
      </x:c>
      <x:c r="G101" s="1" t="s">
        <x:v>20</x:v>
      </x:c>
      <x:c r="H101" s="1" t="s">
        <x:v>20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28</x:v>
      </x:c>
      <x:c r="F102" s="1" t="s">
        <x:v>20</x:v>
      </x:c>
      <x:c r="G102" s="1" t="s">
        <x:v>20</x:v>
      </x:c>
      <x:c r="H102" s="1" t="s">
        <x:v>29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30</x:v>
      </x:c>
      <x:c r="F103" s="1" t="s">
        <x:v>20</x:v>
      </x:c>
      <x:c r="G103" s="1" t="s">
        <x:v>20</x:v>
      </x:c>
      <x:c r="H103" s="1" t="s">
        <x:v>31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84</x:v>
      </x:c>
      <x:c r="G104" s="1" t="s">
        <x:v>20</x:v>
      </x:c>
      <x:c r="H104" s="1" t="s">
        <x:v>85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86</x:v>
      </x:c>
      <x:c r="G105" s="1" t="s">
        <x:v>20</x:v>
      </x:c>
      <x:c r="H105" s="1" t="s">
        <x:v>87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92</x:v>
      </x:c>
      <x:c r="B106" s="2" t="s">
        <x:v>18</x:v>
      </x:c>
      <x:c r="C106" s="2">
        <x:f>HYPERLINK("https://team-oisq.testit.software/projects/1/tests/21", "Проверка авторизации с двумя пробелами в поле email и паролем, введённым без цифр")</x:f>
      </x:c>
      <x:c r="D106" s="1" t="s">
        <x:v>19</x:v>
      </x:c>
      <x:c r="E106" s="1" t="s">
        <x:v>20</x:v>
      </x:c>
      <x:c r="F106" s="1" t="s">
        <x:v>20</x:v>
      </x:c>
      <x:c r="G106" s="1" t="s">
        <x:v>20</x:v>
      </x:c>
      <x:c r="H106" s="1" t="s">
        <x:v>20</x:v>
      </x:c>
      <x:c r="I106" s="1" t="s">
        <x:v>20</x:v>
      </x:c>
      <x:c r="J106" s="1" t="s">
        <x:v>20</x:v>
      </x:c>
      <x:c r="K106" s="1" t="s">
        <x:v>20</x:v>
      </x:c>
      <x:c r="L106" s="1" t="s">
        <x:v>21</x:v>
      </x:c>
      <x:c r="M106" s="1" t="s">
        <x:v>22</x:v>
      </x:c>
      <x:c r="N106" s="1" t="s">
        <x:v>93</x:v>
      </x:c>
      <x:c r="O106" s="1" t="s">
        <x:v>24</x:v>
      </x:c>
      <x:c r="P106" s="1" t="s">
        <x:v>25</x:v>
      </x:c>
      <x:c r="Q106" s="1" t="s">
        <x:v>94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27</x:v>
      </x:c>
      <x:c r="F107" s="1" t="s">
        <x:v>20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28</x:v>
      </x:c>
      <x:c r="F108" s="1" t="s">
        <x:v>20</x:v>
      </x:c>
      <x:c r="G108" s="1" t="s">
        <x:v>20</x:v>
      </x:c>
      <x:c r="H108" s="1" t="s">
        <x:v>29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30</x:v>
      </x:c>
      <x:c r="F109" s="1" t="s">
        <x:v>20</x:v>
      </x:c>
      <x:c r="G109" s="1" t="s">
        <x:v>20</x:v>
      </x:c>
      <x:c r="H109" s="1" t="s">
        <x:v>31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84</x:v>
      </x:c>
      <x:c r="G110" s="1" t="s">
        <x:v>20</x:v>
      </x:c>
      <x:c r="H110" s="1" t="s">
        <x:v>85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86</x:v>
      </x:c>
      <x:c r="G111" s="1" t="s">
        <x:v>20</x:v>
      </x:c>
      <x:c r="H111" s="1" t="s">
        <x:v>87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95</x:v>
      </x:c>
      <x:c r="B112" s="2" t="s">
        <x:v>18</x:v>
      </x:c>
      <x:c r="C112" s="2">
        <x:f>HYPERLINK("https://team-oisq.testit.software/projects/1/tests/22", "Проверка авторизации с двумя пробелами в поле email и с пробелом в середине пароля")</x:f>
      </x:c>
      <x:c r="D112" s="1" t="s">
        <x:v>19</x:v>
      </x:c>
      <x:c r="E112" s="1" t="s">
        <x:v>20</x:v>
      </x:c>
      <x:c r="F112" s="1" t="s">
        <x:v>20</x:v>
      </x:c>
      <x:c r="G112" s="1" t="s">
        <x:v>20</x:v>
      </x:c>
      <x:c r="H112" s="1" t="s">
        <x:v>20</x:v>
      </x:c>
      <x:c r="I112" s="1" t="s">
        <x:v>20</x:v>
      </x:c>
      <x:c r="J112" s="1" t="s">
        <x:v>20</x:v>
      </x:c>
      <x:c r="K112" s="1" t="s">
        <x:v>20</x:v>
      </x:c>
      <x:c r="L112" s="1" t="s">
        <x:v>21</x:v>
      </x:c>
      <x:c r="M112" s="1" t="s">
        <x:v>22</x:v>
      </x:c>
      <x:c r="N112" s="1" t="s">
        <x:v>96</x:v>
      </x:c>
      <x:c r="O112" s="1" t="s">
        <x:v>24</x:v>
      </x:c>
      <x:c r="P112" s="1" t="s">
        <x:v>25</x:v>
      </x:c>
      <x:c r="Q112" s="1" t="s">
        <x:v>94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27</x:v>
      </x:c>
      <x:c r="F113" s="1" t="s">
        <x:v>20</x:v>
      </x:c>
      <x:c r="G113" s="1" t="s">
        <x:v>20</x:v>
      </x:c>
      <x:c r="H113" s="1" t="s">
        <x:v>20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28</x:v>
      </x:c>
      <x:c r="F114" s="1" t="s">
        <x:v>20</x:v>
      </x:c>
      <x:c r="G114" s="1" t="s">
        <x:v>20</x:v>
      </x:c>
      <x:c r="H114" s="1" t="s">
        <x:v>29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30</x:v>
      </x:c>
      <x:c r="F115" s="1" t="s">
        <x:v>20</x:v>
      </x:c>
      <x:c r="G115" s="1" t="s">
        <x:v>20</x:v>
      </x:c>
      <x:c r="H115" s="1" t="s">
        <x:v>31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84</x:v>
      </x:c>
      <x:c r="G116" s="1" t="s">
        <x:v>20</x:v>
      </x:c>
      <x:c r="H116" s="1" t="s">
        <x:v>85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86</x:v>
      </x:c>
      <x:c r="G117" s="1" t="s">
        <x:v>20</x:v>
      </x:c>
      <x:c r="H117" s="1" t="s">
        <x:v>87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97</x:v>
      </x:c>
      <x:c r="B118" s="2" t="s">
        <x:v>18</x:v>
      </x:c>
      <x:c r="C118" s="2">
        <x:f>HYPERLINK("https://team-oisq.testit.software/projects/1/tests/23", "Проверка авторизации с двумя пробелами в поле email и паролем,  ведённым с caps lock")</x:f>
      </x:c>
      <x:c r="D118" s="1" t="s">
        <x:v>19</x:v>
      </x:c>
      <x:c r="E118" s="1" t="s">
        <x:v>20</x:v>
      </x:c>
      <x:c r="F118" s="1" t="s">
        <x:v>20</x:v>
      </x:c>
      <x:c r="G118" s="1" t="s">
        <x:v>20</x:v>
      </x:c>
      <x:c r="H118" s="1" t="s">
        <x:v>20</x:v>
      </x:c>
      <x:c r="I118" s="1" t="s">
        <x:v>20</x:v>
      </x:c>
      <x:c r="J118" s="1" t="s">
        <x:v>20</x:v>
      </x:c>
      <x:c r="K118" s="1" t="s">
        <x:v>20</x:v>
      </x:c>
      <x:c r="L118" s="1" t="s">
        <x:v>21</x:v>
      </x:c>
      <x:c r="M118" s="1" t="s">
        <x:v>22</x:v>
      </x:c>
      <x:c r="N118" s="1" t="s">
        <x:v>98</x:v>
      </x:c>
      <x:c r="O118" s="1" t="s">
        <x:v>24</x:v>
      </x:c>
      <x:c r="P118" s="1" t="s">
        <x:v>25</x:v>
      </x:c>
      <x:c r="Q118" s="1" t="s">
        <x:v>94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27</x:v>
      </x:c>
      <x:c r="F119" s="1" t="s">
        <x:v>20</x:v>
      </x:c>
      <x:c r="G119" s="1" t="s">
        <x:v>20</x:v>
      </x:c>
      <x:c r="H119" s="1" t="s">
        <x:v>20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28</x:v>
      </x:c>
      <x:c r="F120" s="1" t="s">
        <x:v>20</x:v>
      </x:c>
      <x:c r="G120" s="1" t="s">
        <x:v>20</x:v>
      </x:c>
      <x:c r="H120" s="1" t="s">
        <x:v>29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30</x:v>
      </x:c>
      <x:c r="F121" s="1" t="s">
        <x:v>20</x:v>
      </x:c>
      <x:c r="G121" s="1" t="s">
        <x:v>20</x:v>
      </x:c>
      <x:c r="H121" s="1" t="s">
        <x:v>31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84</x:v>
      </x:c>
      <x:c r="G122" s="1" t="s">
        <x:v>20</x:v>
      </x:c>
      <x:c r="H122" s="1" t="s">
        <x:v>85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86</x:v>
      </x:c>
      <x:c r="G123" s="1" t="s">
        <x:v>20</x:v>
      </x:c>
      <x:c r="H123" s="1" t="s">
        <x:v>87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99</x:v>
      </x:c>
      <x:c r="B124" s="2" t="s">
        <x:v>18</x:v>
      </x:c>
      <x:c r="C124" s="2">
        <x:f>HYPERLINK("https://team-oisq.testit.software/projects/1/tests/24", "Проверка авторизации с двумя пробелами в поле email и паролем,  ведённым кириллицей")</x:f>
      </x:c>
      <x:c r="D124" s="1" t="s">
        <x:v>19</x:v>
      </x:c>
      <x:c r="E124" s="1" t="s">
        <x:v>20</x:v>
      </x:c>
      <x:c r="F124" s="1" t="s">
        <x:v>20</x:v>
      </x:c>
      <x:c r="G124" s="1" t="s">
        <x:v>20</x:v>
      </x:c>
      <x:c r="H124" s="1" t="s">
        <x:v>20</x:v>
      </x:c>
      <x:c r="I124" s="1" t="s">
        <x:v>20</x:v>
      </x:c>
      <x:c r="J124" s="1" t="s">
        <x:v>20</x:v>
      </x:c>
      <x:c r="K124" s="1" t="s">
        <x:v>20</x:v>
      </x:c>
      <x:c r="L124" s="1" t="s">
        <x:v>21</x:v>
      </x:c>
      <x:c r="M124" s="1" t="s">
        <x:v>22</x:v>
      </x:c>
      <x:c r="N124" s="1" t="s">
        <x:v>100</x:v>
      </x:c>
      <x:c r="O124" s="1" t="s">
        <x:v>24</x:v>
      </x:c>
      <x:c r="P124" s="1" t="s">
        <x:v>25</x:v>
      </x:c>
      <x:c r="Q124" s="1" t="s">
        <x:v>94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27</x:v>
      </x:c>
      <x:c r="F125" s="1" t="s">
        <x:v>20</x:v>
      </x:c>
      <x:c r="G125" s="1" t="s">
        <x:v>20</x:v>
      </x:c>
      <x:c r="H125" s="1" t="s">
        <x:v>20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28</x:v>
      </x:c>
      <x:c r="F126" s="1" t="s">
        <x:v>20</x:v>
      </x:c>
      <x:c r="G126" s="1" t="s">
        <x:v>20</x:v>
      </x:c>
      <x:c r="H126" s="1" t="s">
        <x:v>29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30</x:v>
      </x:c>
      <x:c r="F127" s="1" t="s">
        <x:v>20</x:v>
      </x:c>
      <x:c r="G127" s="1" t="s">
        <x:v>20</x:v>
      </x:c>
      <x:c r="H127" s="1" t="s">
        <x:v>31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84</x:v>
      </x:c>
      <x:c r="G128" s="1" t="s">
        <x:v>20</x:v>
      </x:c>
      <x:c r="H128" s="1" t="s">
        <x:v>85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86</x:v>
      </x:c>
      <x:c r="G129" s="1" t="s">
        <x:v>20</x:v>
      </x:c>
      <x:c r="H129" s="1" t="s">
        <x:v>87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101</x:v>
      </x:c>
      <x:c r="B130" s="2" t="s">
        <x:v>18</x:v>
      </x:c>
      <x:c r="C130" s="2">
        <x:f>HYPERLINK("https://team-oisq.testit.software/projects/1/tests/25", "Проверка авторизации с незарегистрированным email(опечатка пользователя) и валидным паролем")</x:f>
      </x:c>
      <x:c r="D130" s="1" t="s">
        <x:v>19</x:v>
      </x:c>
      <x:c r="E130" s="1" t="s">
        <x:v>20</x:v>
      </x:c>
      <x:c r="F130" s="1" t="s">
        <x:v>20</x:v>
      </x:c>
      <x:c r="G130" s="1" t="s">
        <x:v>20</x:v>
      </x:c>
      <x:c r="H130" s="1" t="s">
        <x:v>20</x:v>
      </x:c>
      <x:c r="I130" s="1" t="s">
        <x:v>20</x:v>
      </x:c>
      <x:c r="J130" s="1" t="s">
        <x:v>20</x:v>
      </x:c>
      <x:c r="K130" s="1" t="s">
        <x:v>20</x:v>
      </x:c>
      <x:c r="L130" s="1" t="s">
        <x:v>21</x:v>
      </x:c>
      <x:c r="M130" s="1" t="s">
        <x:v>22</x:v>
      </x:c>
      <x:c r="N130" s="1" t="s">
        <x:v>102</x:v>
      </x:c>
      <x:c r="O130" s="1" t="s">
        <x:v>24</x:v>
      </x:c>
      <x:c r="P130" s="1" t="s">
        <x:v>25</x:v>
      </x:c>
      <x:c r="Q130" s="1" t="s">
        <x:v>94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27</x:v>
      </x:c>
      <x:c r="F131" s="1" t="s">
        <x:v>20</x:v>
      </x:c>
      <x:c r="G131" s="1" t="s">
        <x:v>20</x:v>
      </x:c>
      <x:c r="H131" s="1" t="s">
        <x:v>20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103</x:v>
      </x:c>
      <x:c r="F132" s="1" t="s">
        <x:v>20</x:v>
      </x:c>
      <x:c r="G132" s="1" t="s">
        <x:v>20</x:v>
      </x:c>
      <x:c r="H132" s="1" t="s">
        <x:v>20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28</x:v>
      </x:c>
      <x:c r="F133" s="1" t="s">
        <x:v>20</x:v>
      </x:c>
      <x:c r="G133" s="1" t="s">
        <x:v>20</x:v>
      </x:c>
      <x:c r="H133" s="1" t="s">
        <x:v>29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30</x:v>
      </x:c>
      <x:c r="F134" s="1" t="s">
        <x:v>20</x:v>
      </x:c>
      <x:c r="G134" s="1" t="s">
        <x:v>20</x:v>
      </x:c>
      <x:c r="H134" s="1" t="s">
        <x:v>31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104</x:v>
      </x:c>
      <x:c r="G135" s="1" t="s">
        <x:v>20</x:v>
      </x:c>
      <x:c r="H135" s="1" t="s">
        <x:v>105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86</x:v>
      </x:c>
      <x:c r="G136" s="1" t="s">
        <x:v>20</x:v>
      </x:c>
      <x:c r="H136" s="1" t="s">
        <x:v>106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107</x:v>
      </x:c>
      <x:c r="B137" s="2" t="s">
        <x:v>18</x:v>
      </x:c>
      <x:c r="C137" s="2">
        <x:f>HYPERLINK("https://team-oisq.testit.software/projects/1/tests/28", "Проверка авторизации с незарегистрированным email (опечатка пользователя) и пустым паролем")</x:f>
      </x:c>
      <x:c r="D137" s="1" t="s">
        <x:v>19</x:v>
      </x:c>
      <x:c r="E137" s="1" t="s">
        <x:v>20</x:v>
      </x:c>
      <x:c r="F137" s="1" t="s">
        <x:v>20</x:v>
      </x:c>
      <x:c r="G137" s="1" t="s">
        <x:v>20</x:v>
      </x:c>
      <x:c r="H137" s="1" t="s">
        <x:v>20</x:v>
      </x:c>
      <x:c r="I137" s="1" t="s">
        <x:v>20</x:v>
      </x:c>
      <x:c r="J137" s="1" t="s">
        <x:v>20</x:v>
      </x:c>
      <x:c r="K137" s="1" t="s">
        <x:v>20</x:v>
      </x:c>
      <x:c r="L137" s="1" t="s">
        <x:v>21</x:v>
      </x:c>
      <x:c r="M137" s="1" t="s">
        <x:v>22</x:v>
      </x:c>
      <x:c r="N137" s="1" t="s">
        <x:v>108</x:v>
      </x:c>
      <x:c r="O137" s="1" t="s">
        <x:v>24</x:v>
      </x:c>
      <x:c r="P137" s="1" t="s">
        <x:v>25</x:v>
      </x:c>
      <x:c r="Q137" s="1" t="s">
        <x:v>26</x:v>
      </x:c>
    </x:row>
    <x:row r="138" spans="1:17">
      <x:c r="A138" s="1" t="s">
        <x:v>20</x:v>
      </x:c>
      <x:c r="B138" s="2" t="s">
        <x:v>20</x:v>
      </x:c>
      <x:c r="C138" s="2" t="s">
        <x:v>20</x:v>
      </x:c>
      <x:c r="D138" s="1" t="s">
        <x:v>20</x:v>
      </x:c>
      <x:c r="E138" s="1" t="s">
        <x:v>27</x:v>
      </x:c>
      <x:c r="F138" s="1" t="s">
        <x:v>20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20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103</x:v>
      </x:c>
      <x:c r="F139" s="1" t="s">
        <x:v>20</x:v>
      </x:c>
      <x:c r="G139" s="1" t="s">
        <x:v>20</x:v>
      </x:c>
      <x:c r="H139" s="1" t="s">
        <x:v>20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28</x:v>
      </x:c>
      <x:c r="F140" s="1" t="s">
        <x:v>20</x:v>
      </x:c>
      <x:c r="G140" s="1" t="s">
        <x:v>20</x:v>
      </x:c>
      <x:c r="H140" s="1" t="s">
        <x:v>29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30</x:v>
      </x:c>
      <x:c r="F141" s="1" t="s">
        <x:v>20</x:v>
      </x:c>
      <x:c r="G141" s="1" t="s">
        <x:v>20</x:v>
      </x:c>
      <x:c r="H141" s="1" t="s">
        <x:v>31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104</x:v>
      </x:c>
      <x:c r="G142" s="1" t="s">
        <x:v>20</x:v>
      </x:c>
      <x:c r="H142" s="1" t="s">
        <x:v>105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</x:v>
      </x:c>
      <x:c r="B143" s="2" t="s">
        <x:v>20</x:v>
      </x:c>
      <x:c r="C143" s="2" t="s">
        <x:v>20</x:v>
      </x:c>
      <x:c r="D143" s="1" t="s">
        <x:v>20</x:v>
      </x:c>
      <x:c r="E143" s="1" t="s">
        <x:v>20</x:v>
      </x:c>
      <x:c r="F143" s="1" t="s">
        <x:v>86</x:v>
      </x:c>
      <x:c r="G143" s="1" t="s">
        <x:v>20</x:v>
      </x:c>
      <x:c r="H143" s="1" t="s">
        <x:v>106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</x:row>
    <x:row r="144" spans="1:17">
      <x:c r="A144" s="1" t="s">
        <x:v>109</x:v>
      </x:c>
      <x:c r="B144" s="2" t="s">
        <x:v>18</x:v>
      </x:c>
      <x:c r="C144" s="2">
        <x:f>HYPERLINK("https://team-oisq.testit.software/projects/1/tests/27", "Проверка авторизации с незарегистрированным email(опечатка пользователя) и двумя пробелами в поле пароль")</x:f>
      </x:c>
      <x:c r="D144" s="1" t="s">
        <x:v>19</x:v>
      </x:c>
      <x:c r="E144" s="1" t="s">
        <x:v>20</x:v>
      </x:c>
      <x:c r="F144" s="1" t="s">
        <x:v>20</x:v>
      </x:c>
      <x:c r="G144" s="1" t="s">
        <x:v>20</x:v>
      </x:c>
      <x:c r="H144" s="1" t="s">
        <x:v>20</x:v>
      </x:c>
      <x:c r="I144" s="1" t="s">
        <x:v>20</x:v>
      </x:c>
      <x:c r="J144" s="1" t="s">
        <x:v>20</x:v>
      </x:c>
      <x:c r="K144" s="1" t="s">
        <x:v>20</x:v>
      </x:c>
      <x:c r="L144" s="1" t="s">
        <x:v>21</x:v>
      </x:c>
      <x:c r="M144" s="1" t="s">
        <x:v>22</x:v>
      </x:c>
      <x:c r="N144" s="1" t="s">
        <x:v>110</x:v>
      </x:c>
      <x:c r="O144" s="1" t="s">
        <x:v>24</x:v>
      </x:c>
      <x:c r="P144" s="1" t="s">
        <x:v>25</x:v>
      </x:c>
      <x:c r="Q144" s="1" t="s">
        <x:v>26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27</x:v>
      </x:c>
      <x:c r="F145" s="1" t="s">
        <x:v>20</x:v>
      </x:c>
      <x:c r="G145" s="1" t="s">
        <x:v>20</x:v>
      </x:c>
      <x:c r="H145" s="1" t="s">
        <x:v>20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103</x:v>
      </x:c>
      <x:c r="F146" s="1" t="s">
        <x:v>20</x:v>
      </x:c>
      <x:c r="G146" s="1" t="s">
        <x:v>20</x:v>
      </x:c>
      <x:c r="H146" s="1" t="s">
        <x:v>20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28</x:v>
      </x:c>
      <x:c r="F147" s="1" t="s">
        <x:v>20</x:v>
      </x:c>
      <x:c r="G147" s="1" t="s">
        <x:v>20</x:v>
      </x:c>
      <x:c r="H147" s="1" t="s">
        <x:v>29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20</x:v>
      </x:c>
      <x:c r="B148" s="2" t="s">
        <x:v>20</x:v>
      </x:c>
      <x:c r="C148" s="2" t="s">
        <x:v>20</x:v>
      </x:c>
      <x:c r="D148" s="1" t="s">
        <x:v>20</x:v>
      </x:c>
      <x:c r="E148" s="1" t="s">
        <x:v>30</x:v>
      </x:c>
      <x:c r="F148" s="1" t="s">
        <x:v>20</x:v>
      </x:c>
      <x:c r="G148" s="1" t="s">
        <x:v>20</x:v>
      </x:c>
      <x:c r="H148" s="1" t="s">
        <x:v>31</x:v>
      </x:c>
      <x:c r="I148" s="1" t="s">
        <x:v>20</x:v>
      </x:c>
      <x:c r="J148" s="1" t="s">
        <x:v>20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104</x:v>
      </x:c>
      <x:c r="G149" s="1" t="s">
        <x:v>20</x:v>
      </x:c>
      <x:c r="H149" s="1" t="s">
        <x:v>105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86</x:v>
      </x:c>
      <x:c r="G150" s="1" t="s">
        <x:v>20</x:v>
      </x:c>
      <x:c r="H150" s="1" t="s">
        <x:v>106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111</x:v>
      </x:c>
      <x:c r="B151" s="2" t="s">
        <x:v>18</x:v>
      </x:c>
      <x:c r="C151" s="2">
        <x:f>HYPERLINK("https://team-oisq.testit.software/projects/1/tests/26", "Проверка авторизации с незарегистрированным email(опечатка пользователя) и паролем без цифр")</x:f>
      </x:c>
      <x:c r="D151" s="1" t="s">
        <x:v>19</x:v>
      </x:c>
      <x:c r="E151" s="1" t="s">
        <x:v>20</x:v>
      </x:c>
      <x:c r="F151" s="1" t="s">
        <x:v>20</x:v>
      </x:c>
      <x:c r="G151" s="1" t="s">
        <x:v>20</x:v>
      </x:c>
      <x:c r="H151" s="1" t="s">
        <x:v>20</x:v>
      </x:c>
      <x:c r="I151" s="1" t="s">
        <x:v>20</x:v>
      </x:c>
      <x:c r="J151" s="1" t="s">
        <x:v>20</x:v>
      </x:c>
      <x:c r="K151" s="1" t="s">
        <x:v>20</x:v>
      </x:c>
      <x:c r="L151" s="1" t="s">
        <x:v>21</x:v>
      </x:c>
      <x:c r="M151" s="1" t="s">
        <x:v>22</x:v>
      </x:c>
      <x:c r="N151" s="1" t="s">
        <x:v>112</x:v>
      </x:c>
      <x:c r="O151" s="1" t="s">
        <x:v>24</x:v>
      </x:c>
      <x:c r="P151" s="1" t="s">
        <x:v>25</x:v>
      </x:c>
      <x:c r="Q151" s="1" t="s">
        <x:v>26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27</x:v>
      </x:c>
      <x:c r="F152" s="1" t="s">
        <x:v>20</x:v>
      </x:c>
      <x:c r="G152" s="1" t="s">
        <x:v>20</x:v>
      </x:c>
      <x:c r="H152" s="1" t="s">
        <x:v>20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103</x:v>
      </x:c>
      <x:c r="F153" s="1" t="s">
        <x:v>20</x:v>
      </x:c>
      <x:c r="G153" s="1" t="s">
        <x:v>20</x:v>
      </x:c>
      <x:c r="H153" s="1" t="s">
        <x:v>20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28</x:v>
      </x:c>
      <x:c r="F154" s="1" t="s">
        <x:v>20</x:v>
      </x:c>
      <x:c r="G154" s="1" t="s">
        <x:v>20</x:v>
      </x:c>
      <x:c r="H154" s="1" t="s">
        <x:v>29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30</x:v>
      </x:c>
      <x:c r="F155" s="1" t="s">
        <x:v>20</x:v>
      </x:c>
      <x:c r="G155" s="1" t="s">
        <x:v>20</x:v>
      </x:c>
      <x:c r="H155" s="1" t="s">
        <x:v>31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20</x:v>
      </x:c>
      <x:c r="F156" s="1" t="s">
        <x:v>104</x:v>
      </x:c>
      <x:c r="G156" s="1" t="s">
        <x:v>20</x:v>
      </x:c>
      <x:c r="H156" s="1" t="s">
        <x:v>105</x:v>
      </x:c>
      <x:c r="I156" s="1" t="s">
        <x:v>20</x:v>
      </x:c>
      <x:c r="J156" s="1" t="s">
        <x:v>20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86</x:v>
      </x:c>
      <x:c r="G157" s="1" t="s">
        <x:v>20</x:v>
      </x:c>
      <x:c r="H157" s="1" t="s">
        <x:v>106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113</x:v>
      </x:c>
      <x:c r="B158" s="2" t="s">
        <x:v>18</x:v>
      </x:c>
      <x:c r="C158" s="2">
        <x:f>HYPERLINK("https://team-oisq.testit.software/projects/1/tests/29", "Проверка авторизации с незарегистрированным email(опечатка пользователя) и пробелом в середине пароля")</x:f>
      </x:c>
      <x:c r="D158" s="1" t="s">
        <x:v>19</x:v>
      </x:c>
      <x:c r="E158" s="1" t="s">
        <x:v>20</x:v>
      </x:c>
      <x:c r="F158" s="1" t="s">
        <x:v>20</x:v>
      </x:c>
      <x:c r="G158" s="1" t="s">
        <x:v>20</x:v>
      </x:c>
      <x:c r="H158" s="1" t="s">
        <x:v>20</x:v>
      </x:c>
      <x:c r="I158" s="1" t="s">
        <x:v>20</x:v>
      </x:c>
      <x:c r="J158" s="1" t="s">
        <x:v>20</x:v>
      </x:c>
      <x:c r="K158" s="1" t="s">
        <x:v>20</x:v>
      </x:c>
      <x:c r="L158" s="1" t="s">
        <x:v>21</x:v>
      </x:c>
      <x:c r="M158" s="1" t="s">
        <x:v>22</x:v>
      </x:c>
      <x:c r="N158" s="1" t="s">
        <x:v>114</x:v>
      </x:c>
      <x:c r="O158" s="1" t="s">
        <x:v>24</x:v>
      </x:c>
      <x:c r="P158" s="1" t="s">
        <x:v>25</x:v>
      </x:c>
      <x:c r="Q158" s="1" t="s">
        <x:v>26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27</x:v>
      </x:c>
      <x:c r="F159" s="1" t="s">
        <x:v>20</x:v>
      </x:c>
      <x:c r="G159" s="1" t="s">
        <x:v>20</x:v>
      </x:c>
      <x:c r="H159" s="1" t="s">
        <x:v>20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103</x:v>
      </x:c>
      <x:c r="F160" s="1" t="s">
        <x:v>20</x:v>
      </x:c>
      <x:c r="G160" s="1" t="s">
        <x:v>20</x:v>
      </x:c>
      <x:c r="H160" s="1" t="s">
        <x:v>20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28</x:v>
      </x:c>
      <x:c r="F161" s="1" t="s">
        <x:v>20</x:v>
      </x:c>
      <x:c r="G161" s="1" t="s">
        <x:v>20</x:v>
      </x:c>
      <x:c r="H161" s="1" t="s">
        <x:v>29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30</x:v>
      </x:c>
      <x:c r="F162" s="1" t="s">
        <x:v>20</x:v>
      </x:c>
      <x:c r="G162" s="1" t="s">
        <x:v>20</x:v>
      </x:c>
      <x:c r="H162" s="1" t="s">
        <x:v>31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104</x:v>
      </x:c>
      <x:c r="G163" s="1" t="s">
        <x:v>20</x:v>
      </x:c>
      <x:c r="H163" s="1" t="s">
        <x:v>105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86</x:v>
      </x:c>
      <x:c r="G164" s="1" t="s">
        <x:v>20</x:v>
      </x:c>
      <x:c r="H164" s="1" t="s">
        <x:v>106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115</x:v>
      </x:c>
      <x:c r="B165" s="2" t="s">
        <x:v>18</x:v>
      </x:c>
      <x:c r="C165" s="2">
        <x:f>HYPERLINK("https://team-oisq.testit.software/projects/1/tests/30", "Проверка авторизации с незарегистрированным email(опечатка пользователя) и пробелом введённым с caps lock")</x:f>
      </x:c>
      <x:c r="D165" s="1" t="s">
        <x:v>19</x:v>
      </x:c>
      <x:c r="E165" s="1" t="s">
        <x:v>20</x:v>
      </x:c>
      <x:c r="F165" s="1" t="s">
        <x:v>20</x:v>
      </x:c>
      <x:c r="G165" s="1" t="s">
        <x:v>20</x:v>
      </x:c>
      <x:c r="H165" s="1" t="s">
        <x:v>20</x:v>
      </x:c>
      <x:c r="I165" s="1" t="s">
        <x:v>20</x:v>
      </x:c>
      <x:c r="J165" s="1" t="s">
        <x:v>20</x:v>
      </x:c>
      <x:c r="K165" s="1" t="s">
        <x:v>20</x:v>
      </x:c>
      <x:c r="L165" s="1" t="s">
        <x:v>21</x:v>
      </x:c>
      <x:c r="M165" s="1" t="s">
        <x:v>22</x:v>
      </x:c>
      <x:c r="N165" s="1" t="s">
        <x:v>116</x:v>
      </x:c>
      <x:c r="O165" s="1" t="s">
        <x:v>24</x:v>
      </x:c>
      <x:c r="P165" s="1" t="s">
        <x:v>25</x:v>
      </x:c>
      <x:c r="Q165" s="1" t="s">
        <x:v>26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27</x:v>
      </x:c>
      <x:c r="F166" s="1" t="s">
        <x:v>20</x:v>
      </x:c>
      <x:c r="G166" s="1" t="s">
        <x:v>20</x:v>
      </x:c>
      <x:c r="H166" s="1" t="s">
        <x:v>20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103</x:v>
      </x:c>
      <x:c r="F167" s="1" t="s">
        <x:v>20</x:v>
      </x:c>
      <x:c r="G167" s="1" t="s">
        <x:v>20</x:v>
      </x:c>
      <x:c r="H167" s="1" t="s">
        <x:v>20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28</x:v>
      </x:c>
      <x:c r="F168" s="1" t="s">
        <x:v>20</x:v>
      </x:c>
      <x:c r="G168" s="1" t="s">
        <x:v>20</x:v>
      </x:c>
      <x:c r="H168" s="1" t="s">
        <x:v>29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30</x:v>
      </x:c>
      <x:c r="F169" s="1" t="s">
        <x:v>20</x:v>
      </x:c>
      <x:c r="G169" s="1" t="s">
        <x:v>20</x:v>
      </x:c>
      <x:c r="H169" s="1" t="s">
        <x:v>31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104</x:v>
      </x:c>
      <x:c r="G170" s="1" t="s">
        <x:v>20</x:v>
      </x:c>
      <x:c r="H170" s="1" t="s">
        <x:v>105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86</x:v>
      </x:c>
      <x:c r="G171" s="1" t="s">
        <x:v>20</x:v>
      </x:c>
      <x:c r="H171" s="1" t="s">
        <x:v>106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117</x:v>
      </x:c>
      <x:c r="B172" s="2" t="s">
        <x:v>18</x:v>
      </x:c>
      <x:c r="C172" s="2">
        <x:f>HYPERLINK("https://team-oisq.testit.software/projects/1/tests/31", "Проверка авторизации с некорректным email (пробелом в средине) и валидным паролем")</x:f>
      </x:c>
      <x:c r="D172" s="1" t="s">
        <x:v>19</x:v>
      </x:c>
      <x:c r="E172" s="1" t="s">
        <x:v>20</x:v>
      </x:c>
      <x:c r="F172" s="1" t="s">
        <x:v>20</x:v>
      </x:c>
      <x:c r="G172" s="1" t="s">
        <x:v>20</x:v>
      </x:c>
      <x:c r="H172" s="1" t="s">
        <x:v>20</x:v>
      </x:c>
      <x:c r="I172" s="1" t="s">
        <x:v>20</x:v>
      </x:c>
      <x:c r="J172" s="1" t="s">
        <x:v>20</x:v>
      </x:c>
      <x:c r="K172" s="1" t="s">
        <x:v>20</x:v>
      </x:c>
      <x:c r="L172" s="1" t="s">
        <x:v>21</x:v>
      </x:c>
      <x:c r="M172" s="1" t="s">
        <x:v>22</x:v>
      </x:c>
      <x:c r="N172" s="1" t="s">
        <x:v>118</x:v>
      </x:c>
      <x:c r="O172" s="1" t="s">
        <x:v>24</x:v>
      </x:c>
      <x:c r="P172" s="1" t="s">
        <x:v>25</x:v>
      </x:c>
      <x:c r="Q172" s="1" t="s">
        <x:v>26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27</x:v>
      </x:c>
      <x:c r="F173" s="1" t="s">
        <x:v>20</x:v>
      </x:c>
      <x:c r="G173" s="1" t="s">
        <x:v>20</x:v>
      </x:c>
      <x:c r="H173" s="1" t="s">
        <x:v>20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20</x:v>
      </x:c>
      <x:c r="B174" s="2" t="s">
        <x:v>20</x:v>
      </x:c>
      <x:c r="C174" s="2" t="s">
        <x:v>20</x:v>
      </x:c>
      <x:c r="D174" s="1" t="s">
        <x:v>20</x:v>
      </x:c>
      <x:c r="E174" s="1" t="s">
        <x:v>28</x:v>
      </x:c>
      <x:c r="F174" s="1" t="s">
        <x:v>20</x:v>
      </x:c>
      <x:c r="G174" s="1" t="s">
        <x:v>20</x:v>
      </x:c>
      <x:c r="H174" s="1" t="s">
        <x:v>29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20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30</x:v>
      </x:c>
      <x:c r="F175" s="1" t="s">
        <x:v>20</x:v>
      </x:c>
      <x:c r="G175" s="1" t="s">
        <x:v>20</x:v>
      </x:c>
      <x:c r="H175" s="1" t="s">
        <x:v>31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119</x:v>
      </x:c>
      <x:c r="G176" s="1" t="s">
        <x:v>20</x:v>
      </x:c>
      <x:c r="H176" s="1" t="s">
        <x:v>105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86</x:v>
      </x:c>
      <x:c r="G177" s="1" t="s">
        <x:v>20</x:v>
      </x:c>
      <x:c r="H177" s="1" t="s">
        <x:v>120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121</x:v>
      </x:c>
      <x:c r="B178" s="2" t="s">
        <x:v>18</x:v>
      </x:c>
      <x:c r="C178" s="2">
        <x:f>HYPERLINK("https://team-oisq.testit.software/projects/1/tests/32", "Проверка авторизации с незарегистрированным email(опечатка пользователя) и паролем, введённым кириллицей ")</x:f>
      </x:c>
      <x:c r="D178" s="1" t="s">
        <x:v>19</x:v>
      </x:c>
      <x:c r="E178" s="1" t="s">
        <x:v>20</x:v>
      </x:c>
      <x:c r="F178" s="1" t="s">
        <x:v>20</x:v>
      </x:c>
      <x:c r="G178" s="1" t="s">
        <x:v>20</x:v>
      </x:c>
      <x:c r="H178" s="1" t="s">
        <x:v>20</x:v>
      </x:c>
      <x:c r="I178" s="1" t="s">
        <x:v>20</x:v>
      </x:c>
      <x:c r="J178" s="1" t="s">
        <x:v>20</x:v>
      </x:c>
      <x:c r="K178" s="1" t="s">
        <x:v>20</x:v>
      </x:c>
      <x:c r="L178" s="1" t="s">
        <x:v>21</x:v>
      </x:c>
      <x:c r="M178" s="1" t="s">
        <x:v>22</x:v>
      </x:c>
      <x:c r="N178" s="1" t="s">
        <x:v>122</x:v>
      </x:c>
      <x:c r="O178" s="1" t="s">
        <x:v>24</x:v>
      </x:c>
      <x:c r="P178" s="1" t="s">
        <x:v>25</x:v>
      </x:c>
      <x:c r="Q178" s="1" t="s">
        <x:v>26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27</x:v>
      </x:c>
      <x:c r="F179" s="1" t="s">
        <x:v>20</x:v>
      </x:c>
      <x:c r="G179" s="1" t="s">
        <x:v>20</x:v>
      </x:c>
      <x:c r="H179" s="1" t="s">
        <x:v>20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103</x:v>
      </x:c>
      <x:c r="F180" s="1" t="s">
        <x:v>20</x:v>
      </x:c>
      <x:c r="G180" s="1" t="s">
        <x:v>20</x:v>
      </x:c>
      <x:c r="H180" s="1" t="s">
        <x:v>20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28</x:v>
      </x:c>
      <x:c r="F181" s="1" t="s">
        <x:v>20</x:v>
      </x:c>
      <x:c r="G181" s="1" t="s">
        <x:v>20</x:v>
      </x:c>
      <x:c r="H181" s="1" t="s">
        <x:v>29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30</x:v>
      </x:c>
      <x:c r="F182" s="1" t="s">
        <x:v>20</x:v>
      </x:c>
      <x:c r="G182" s="1" t="s">
        <x:v>20</x:v>
      </x:c>
      <x:c r="H182" s="1" t="s">
        <x:v>31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20</x:v>
      </x:c>
      <x:c r="B183" s="2" t="s">
        <x:v>20</x:v>
      </x:c>
      <x:c r="C183" s="2" t="s">
        <x:v>20</x:v>
      </x:c>
      <x:c r="D183" s="1" t="s">
        <x:v>20</x:v>
      </x:c>
      <x:c r="E183" s="1" t="s">
        <x:v>20</x:v>
      </x:c>
      <x:c r="F183" s="1" t="s">
        <x:v>104</x:v>
      </x:c>
      <x:c r="G183" s="1" t="s">
        <x:v>20</x:v>
      </x:c>
      <x:c r="H183" s="1" t="s">
        <x:v>105</x:v>
      </x:c>
      <x:c r="I183" s="1" t="s">
        <x:v>20</x:v>
      </x:c>
      <x:c r="J183" s="1" t="s">
        <x:v>20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20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86</x:v>
      </x:c>
      <x:c r="G184" s="1" t="s">
        <x:v>20</x:v>
      </x:c>
      <x:c r="H184" s="1" t="s">
        <x:v>106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123</x:v>
      </x:c>
      <x:c r="B185" s="2" t="s">
        <x:v>18</x:v>
      </x:c>
      <x:c r="C185" s="2">
        <x:f>HYPERLINK("https://team-oisq.testit.software/projects/1/tests/33", "Проверка авторизации с пробелом в середине email и  валидным паролем ")</x:f>
      </x:c>
      <x:c r="D185" s="1" t="s">
        <x:v>19</x:v>
      </x:c>
      <x:c r="E185" s="1" t="s">
        <x:v>20</x:v>
      </x:c>
      <x:c r="F185" s="1" t="s">
        <x:v>20</x:v>
      </x:c>
      <x:c r="G185" s="1" t="s">
        <x:v>20</x:v>
      </x:c>
      <x:c r="H185" s="1" t="s">
        <x:v>20</x:v>
      </x:c>
      <x:c r="I185" s="1" t="s">
        <x:v>20</x:v>
      </x:c>
      <x:c r="J185" s="1" t="s">
        <x:v>20</x:v>
      </x:c>
      <x:c r="K185" s="1" t="s">
        <x:v>20</x:v>
      </x:c>
      <x:c r="L185" s="1" t="s">
        <x:v>21</x:v>
      </x:c>
      <x:c r="M185" s="1" t="s">
        <x:v>22</x:v>
      </x:c>
      <x:c r="N185" s="1" t="s">
        <x:v>124</x:v>
      </x:c>
      <x:c r="O185" s="1" t="s">
        <x:v>24</x:v>
      </x:c>
      <x:c r="P185" s="1" t="s">
        <x:v>25</x:v>
      </x:c>
      <x:c r="Q185" s="1" t="s">
        <x:v>26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27</x:v>
      </x:c>
      <x:c r="F186" s="1" t="s">
        <x:v>20</x:v>
      </x:c>
      <x:c r="G186" s="1" t="s">
        <x:v>20</x:v>
      </x:c>
      <x:c r="H186" s="1" t="s">
        <x:v>20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28</x:v>
      </x:c>
      <x:c r="F187" s="1" t="s">
        <x:v>20</x:v>
      </x:c>
      <x:c r="G187" s="1" t="s">
        <x:v>20</x:v>
      </x:c>
      <x:c r="H187" s="1" t="s">
        <x:v>29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30</x:v>
      </x:c>
      <x:c r="F188" s="1" t="s">
        <x:v>20</x:v>
      </x:c>
      <x:c r="G188" s="1" t="s">
        <x:v>20</x:v>
      </x:c>
      <x:c r="H188" s="1" t="s">
        <x:v>31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125</x:v>
      </x:c>
      <x:c r="G189" s="1" t="s">
        <x:v>20</x:v>
      </x:c>
      <x:c r="H189" s="1" t="s">
        <x:v>105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86</x:v>
      </x:c>
      <x:c r="G190" s="1" t="s">
        <x:v>20</x:v>
      </x:c>
      <x:c r="H190" s="1" t="s">
        <x:v>87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126</x:v>
      </x:c>
      <x:c r="B191" s="2" t="s">
        <x:v>18</x:v>
      </x:c>
      <x:c r="C191" s="2">
        <x:f>HYPERLINK("https://team-oisq.testit.software/projects/1/tests/34", "Проверка авторизации с пробелом в середине email и  пустым паролем ")</x:f>
      </x:c>
      <x:c r="D191" s="1" t="s">
        <x:v>19</x:v>
      </x:c>
      <x:c r="E191" s="1" t="s">
        <x:v>20</x:v>
      </x:c>
      <x:c r="F191" s="1" t="s">
        <x:v>20</x:v>
      </x:c>
      <x:c r="G191" s="1" t="s">
        <x:v>20</x:v>
      </x:c>
      <x:c r="H191" s="1" t="s">
        <x:v>20</x:v>
      </x:c>
      <x:c r="I191" s="1" t="s">
        <x:v>20</x:v>
      </x:c>
      <x:c r="J191" s="1" t="s">
        <x:v>20</x:v>
      </x:c>
      <x:c r="K191" s="1" t="s">
        <x:v>20</x:v>
      </x:c>
      <x:c r="L191" s="1" t="s">
        <x:v>21</x:v>
      </x:c>
      <x:c r="M191" s="1" t="s">
        <x:v>22</x:v>
      </x:c>
      <x:c r="N191" s="1" t="s">
        <x:v>127</x:v>
      </x:c>
      <x:c r="O191" s="1" t="s">
        <x:v>24</x:v>
      </x:c>
      <x:c r="P191" s="1" t="s">
        <x:v>25</x:v>
      </x:c>
      <x:c r="Q191" s="1" t="s">
        <x:v>26</x:v>
      </x:c>
    </x:row>
    <x:row r="192" spans="1:17">
      <x:c r="A192" s="1" t="s">
        <x:v>20</x:v>
      </x:c>
      <x:c r="B192" s="2" t="s">
        <x:v>20</x:v>
      </x:c>
      <x:c r="C192" s="2" t="s">
        <x:v>20</x:v>
      </x:c>
      <x:c r="D192" s="1" t="s">
        <x:v>20</x:v>
      </x:c>
      <x:c r="E192" s="1" t="s">
        <x:v>27</x:v>
      </x:c>
      <x:c r="F192" s="1" t="s">
        <x:v>20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20</x:v>
      </x:c>
      <x:c r="L192" s="1" t="s">
        <x:v>20</x:v>
      </x:c>
      <x:c r="M192" s="1" t="s">
        <x:v>20</x:v>
      </x:c>
      <x:c r="N192" s="1" t="s">
        <x:v>20</x:v>
      </x:c>
      <x:c r="O192" s="1" t="s">
        <x:v>20</x:v>
      </x:c>
      <x:c r="P192" s="1" t="s">
        <x:v>20</x:v>
      </x:c>
      <x:c r="Q192" s="1" t="s">
        <x:v>20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28</x:v>
      </x:c>
      <x:c r="F193" s="1" t="s">
        <x:v>20</x:v>
      </x:c>
      <x:c r="G193" s="1" t="s">
        <x:v>20</x:v>
      </x:c>
      <x:c r="H193" s="1" t="s">
        <x:v>29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30</x:v>
      </x:c>
      <x:c r="F194" s="1" t="s">
        <x:v>20</x:v>
      </x:c>
      <x:c r="G194" s="1" t="s">
        <x:v>20</x:v>
      </x:c>
      <x:c r="H194" s="1" t="s">
        <x:v>31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125</x:v>
      </x:c>
      <x:c r="G195" s="1" t="s">
        <x:v>20</x:v>
      </x:c>
      <x:c r="H195" s="1" t="s">
        <x:v>105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86</x:v>
      </x:c>
      <x:c r="G196" s="1" t="s">
        <x:v>20</x:v>
      </x:c>
      <x:c r="H196" s="1" t="s">
        <x:v>128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129</x:v>
      </x:c>
      <x:c r="B197" s="2" t="s">
        <x:v>18</x:v>
      </x:c>
      <x:c r="C197" s="2">
        <x:f>HYPERLINK("https://team-oisq.testit.software/projects/1/tests/35", "Проверка авторизации с пробелом в середине email и  двумя пробелами в поле пароль")</x:f>
      </x:c>
      <x:c r="D197" s="1" t="s">
        <x:v>19</x:v>
      </x:c>
      <x:c r="E197" s="1" t="s">
        <x:v>20</x:v>
      </x:c>
      <x:c r="F197" s="1" t="s">
        <x:v>20</x:v>
      </x:c>
      <x:c r="G197" s="1" t="s">
        <x:v>20</x:v>
      </x:c>
      <x:c r="H197" s="1" t="s">
        <x:v>20</x:v>
      </x:c>
      <x:c r="I197" s="1" t="s">
        <x:v>20</x:v>
      </x:c>
      <x:c r="J197" s="1" t="s">
        <x:v>20</x:v>
      </x:c>
      <x:c r="K197" s="1" t="s">
        <x:v>20</x:v>
      </x:c>
      <x:c r="L197" s="1" t="s">
        <x:v>21</x:v>
      </x:c>
      <x:c r="M197" s="1" t="s">
        <x:v>22</x:v>
      </x:c>
      <x:c r="N197" s="1" t="s">
        <x:v>130</x:v>
      </x:c>
      <x:c r="O197" s="1" t="s">
        <x:v>24</x:v>
      </x:c>
      <x:c r="P197" s="1" t="s">
        <x:v>25</x:v>
      </x:c>
      <x:c r="Q197" s="1" t="s">
        <x:v>26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27</x:v>
      </x:c>
      <x:c r="F198" s="1" t="s">
        <x:v>20</x:v>
      </x:c>
      <x:c r="G198" s="1" t="s">
        <x:v>20</x:v>
      </x:c>
      <x:c r="H198" s="1" t="s">
        <x:v>20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20</x:v>
      </x:c>
      <x:c r="B199" s="2" t="s">
        <x:v>20</x:v>
      </x:c>
      <x:c r="C199" s="2" t="s">
        <x:v>20</x:v>
      </x:c>
      <x:c r="D199" s="1" t="s">
        <x:v>20</x:v>
      </x:c>
      <x:c r="E199" s="1" t="s">
        <x:v>28</x:v>
      </x:c>
      <x:c r="F199" s="1" t="s">
        <x:v>20</x:v>
      </x:c>
      <x:c r="G199" s="1" t="s">
        <x:v>20</x:v>
      </x:c>
      <x:c r="H199" s="1" t="s">
        <x:v>29</x:v>
      </x:c>
      <x:c r="I199" s="1" t="s">
        <x:v>20</x:v>
      </x:c>
      <x:c r="J199" s="1" t="s">
        <x:v>20</x:v>
      </x:c>
      <x:c r="K199" s="1" t="s">
        <x:v>20</x:v>
      </x:c>
      <x:c r="L199" s="1" t="s">
        <x:v>20</x:v>
      </x:c>
      <x:c r="M199" s="1" t="s">
        <x:v>20</x:v>
      </x:c>
      <x:c r="N199" s="1" t="s">
        <x:v>20</x:v>
      </x:c>
      <x:c r="O199" s="1" t="s">
        <x:v>20</x:v>
      </x:c>
      <x:c r="P199" s="1" t="s">
        <x:v>20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30</x:v>
      </x:c>
      <x:c r="F200" s="1" t="s">
        <x:v>20</x:v>
      </x:c>
      <x:c r="G200" s="1" t="s">
        <x:v>20</x:v>
      </x:c>
      <x:c r="H200" s="1" t="s">
        <x:v>31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1" t="s">
        <x:v>20</x:v>
      </x:c>
      <x:c r="F201" s="1" t="s">
        <x:v>125</x:v>
      </x:c>
      <x:c r="G201" s="1" t="s">
        <x:v>20</x:v>
      </x:c>
      <x:c r="H201" s="1" t="s">
        <x:v>105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1" t="s">
        <x:v>86</x:v>
      </x:c>
      <x:c r="G202" s="1" t="s">
        <x:v>20</x:v>
      </x:c>
      <x:c r="H202" s="1" t="s">
        <x:v>128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131</x:v>
      </x:c>
      <x:c r="B203" s="2" t="s">
        <x:v>18</x:v>
      </x:c>
      <x:c r="C203" s="2">
        <x:f>HYPERLINK("https://team-oisq.testit.software/projects/1/tests/36", "Проверка авторизации с пробелом в середине email и  паролем без цифр")</x:f>
      </x:c>
      <x:c r="D203" s="1" t="s">
        <x:v>19</x:v>
      </x:c>
      <x:c r="E203" s="1" t="s">
        <x:v>20</x:v>
      </x:c>
      <x:c r="F203" s="1" t="s">
        <x:v>20</x:v>
      </x:c>
      <x:c r="G203" s="1" t="s">
        <x:v>20</x:v>
      </x:c>
      <x:c r="H203" s="1" t="s">
        <x:v>20</x:v>
      </x:c>
      <x:c r="I203" s="1" t="s">
        <x:v>20</x:v>
      </x:c>
      <x:c r="J203" s="1" t="s">
        <x:v>20</x:v>
      </x:c>
      <x:c r="K203" s="1" t="s">
        <x:v>20</x:v>
      </x:c>
      <x:c r="L203" s="1" t="s">
        <x:v>21</x:v>
      </x:c>
      <x:c r="M203" s="1" t="s">
        <x:v>22</x:v>
      </x:c>
      <x:c r="N203" s="1" t="s">
        <x:v>132</x:v>
      </x:c>
      <x:c r="O203" s="1" t="s">
        <x:v>24</x:v>
      </x:c>
      <x:c r="P203" s="1" t="s">
        <x:v>25</x:v>
      </x:c>
      <x:c r="Q203" s="1" t="s">
        <x:v>26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27</x:v>
      </x:c>
      <x:c r="F204" s="1" t="s">
        <x:v>20</x:v>
      </x:c>
      <x:c r="G204" s="1" t="s">
        <x:v>20</x:v>
      </x:c>
      <x:c r="H204" s="1" t="s">
        <x:v>20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20</x:v>
      </x:c>
      <x:c r="B205" s="2" t="s">
        <x:v>20</x:v>
      </x:c>
      <x:c r="C205" s="2" t="s">
        <x:v>20</x:v>
      </x:c>
      <x:c r="D205" s="1" t="s">
        <x:v>20</x:v>
      </x:c>
      <x:c r="E205" s="1" t="s">
        <x:v>28</x:v>
      </x:c>
      <x:c r="F205" s="1" t="s">
        <x:v>20</x:v>
      </x:c>
      <x:c r="G205" s="1" t="s">
        <x:v>20</x:v>
      </x:c>
      <x:c r="H205" s="1" t="s">
        <x:v>29</x:v>
      </x:c>
      <x:c r="I205" s="1" t="s">
        <x:v>20</x:v>
      </x:c>
      <x:c r="J205" s="1" t="s">
        <x:v>20</x:v>
      </x:c>
      <x:c r="K205" s="1" t="s">
        <x:v>20</x:v>
      </x:c>
      <x:c r="L205" s="1" t="s">
        <x:v>20</x:v>
      </x:c>
      <x:c r="M205" s="1" t="s">
        <x:v>20</x:v>
      </x:c>
      <x:c r="N205" s="1" t="s">
        <x:v>20</x:v>
      </x:c>
      <x:c r="O205" s="1" t="s">
        <x:v>20</x:v>
      </x:c>
      <x:c r="P205" s="1" t="s">
        <x:v>20</x:v>
      </x:c>
      <x:c r="Q205" s="1" t="s">
        <x:v>20</x:v>
      </x:c>
    </x:row>
    <x:row r="206" spans="1:17">
      <x:c r="A206" s="1" t="s">
        <x:v>20</x:v>
      </x:c>
      <x:c r="B206" s="2" t="s">
        <x:v>20</x:v>
      </x:c>
      <x:c r="C206" s="2" t="s">
        <x:v>20</x:v>
      </x:c>
      <x:c r="D206" s="1" t="s">
        <x:v>20</x:v>
      </x:c>
      <x:c r="E206" s="1" t="s">
        <x:v>30</x:v>
      </x:c>
      <x:c r="F206" s="1" t="s">
        <x:v>20</x:v>
      </x:c>
      <x:c r="G206" s="1" t="s">
        <x:v>20</x:v>
      </x:c>
      <x:c r="H206" s="1" t="s">
        <x:v>31</x:v>
      </x:c>
      <x:c r="I206" s="1" t="s">
        <x:v>20</x:v>
      </x:c>
      <x:c r="J206" s="1" t="s">
        <x:v>20</x:v>
      </x:c>
      <x:c r="K206" s="1" t="s">
        <x:v>20</x:v>
      </x:c>
      <x:c r="L206" s="1" t="s">
        <x:v>20</x:v>
      </x:c>
      <x:c r="M206" s="1" t="s">
        <x:v>20</x:v>
      </x:c>
      <x:c r="N206" s="1" t="s">
        <x:v>20</x:v>
      </x:c>
      <x:c r="O206" s="1" t="s">
        <x:v>20</x:v>
      </x:c>
      <x:c r="P206" s="1" t="s">
        <x:v>20</x:v>
      </x:c>
      <x:c r="Q206" s="1" t="s">
        <x:v>20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20</x:v>
      </x:c>
      <x:c r="F207" s="1" t="s">
        <x:v>125</x:v>
      </x:c>
      <x:c r="G207" s="1" t="s">
        <x:v>20</x:v>
      </x:c>
      <x:c r="H207" s="1" t="s">
        <x:v>105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  <x:row r="208" spans="1:17">
      <x:c r="A208" s="1" t="s">
        <x:v>20</x:v>
      </x:c>
      <x:c r="B208" s="2" t="s">
        <x:v>20</x:v>
      </x:c>
      <x:c r="C208" s="2" t="s">
        <x:v>20</x:v>
      </x:c>
      <x:c r="D208" s="1" t="s">
        <x:v>20</x:v>
      </x:c>
      <x:c r="E208" s="1" t="s">
        <x:v>20</x:v>
      </x:c>
      <x:c r="F208" s="1" t="s">
        <x:v>86</x:v>
      </x:c>
      <x:c r="G208" s="1" t="s">
        <x:v>20</x:v>
      </x:c>
      <x:c r="H208" s="1" t="s">
        <x:v>128</x:v>
      </x:c>
      <x:c r="I208" s="1" t="s">
        <x:v>20</x:v>
      </x:c>
      <x:c r="J208" s="1" t="s">
        <x:v>20</x:v>
      </x:c>
      <x:c r="K208" s="1" t="s">
        <x:v>20</x:v>
      </x:c>
      <x:c r="L208" s="1" t="s">
        <x:v>20</x:v>
      </x:c>
      <x:c r="M208" s="1" t="s">
        <x:v>20</x:v>
      </x:c>
      <x:c r="N208" s="1" t="s">
        <x:v>20</x:v>
      </x:c>
      <x:c r="O208" s="1" t="s">
        <x:v>20</x:v>
      </x:c>
      <x:c r="P208" s="1" t="s">
        <x:v>20</x:v>
      </x:c>
      <x:c r="Q208" s="1" t="s">
        <x:v>20</x:v>
      </x:c>
    </x:row>
    <x:row r="209" spans="1:17">
      <x:c r="A209" s="1" t="s">
        <x:v>133</x:v>
      </x:c>
      <x:c r="B209" s="2" t="s">
        <x:v>18</x:v>
      </x:c>
      <x:c r="C209" s="2">
        <x:f>HYPERLINK("https://team-oisq.testit.software/projects/1/tests/37", "Проверка авторизации с пробелом в середине email и  пробелом в середине пароля")</x:f>
      </x:c>
      <x:c r="D209" s="1" t="s">
        <x:v>19</x:v>
      </x:c>
      <x:c r="E209" s="1" t="s">
        <x:v>20</x:v>
      </x:c>
      <x:c r="F209" s="1" t="s">
        <x:v>20</x:v>
      </x:c>
      <x:c r="G209" s="1" t="s">
        <x:v>20</x:v>
      </x:c>
      <x:c r="H209" s="1" t="s">
        <x:v>20</x:v>
      </x:c>
      <x:c r="I209" s="1" t="s">
        <x:v>20</x:v>
      </x:c>
      <x:c r="J209" s="1" t="s">
        <x:v>20</x:v>
      </x:c>
      <x:c r="K209" s="1" t="s">
        <x:v>20</x:v>
      </x:c>
      <x:c r="L209" s="1" t="s">
        <x:v>21</x:v>
      </x:c>
      <x:c r="M209" s="1" t="s">
        <x:v>22</x:v>
      </x:c>
      <x:c r="N209" s="1" t="s">
        <x:v>134</x:v>
      </x:c>
      <x:c r="O209" s="1" t="s">
        <x:v>24</x:v>
      </x:c>
      <x:c r="P209" s="1" t="s">
        <x:v>25</x:v>
      </x:c>
      <x:c r="Q209" s="1" t="s">
        <x:v>26</x:v>
      </x:c>
    </x:row>
    <x:row r="210" spans="1:17">
      <x:c r="A210" s="1" t="s">
        <x:v>20</x:v>
      </x:c>
      <x:c r="B210" s="2" t="s">
        <x:v>20</x:v>
      </x:c>
      <x:c r="C210" s="2" t="s">
        <x:v>20</x:v>
      </x:c>
      <x:c r="D210" s="1" t="s">
        <x:v>20</x:v>
      </x:c>
      <x:c r="E210" s="1" t="s">
        <x:v>27</x:v>
      </x:c>
      <x:c r="F210" s="1" t="s">
        <x:v>20</x:v>
      </x:c>
      <x:c r="G210" s="1" t="s">
        <x:v>20</x:v>
      </x:c>
      <x:c r="H210" s="1" t="s">
        <x:v>20</x:v>
      </x:c>
      <x:c r="I210" s="1" t="s">
        <x:v>20</x:v>
      </x:c>
      <x:c r="J210" s="1" t="s">
        <x:v>20</x:v>
      </x:c>
      <x:c r="K210" s="1" t="s">
        <x:v>20</x:v>
      </x:c>
      <x:c r="L210" s="1" t="s">
        <x:v>20</x:v>
      </x:c>
      <x:c r="M210" s="1" t="s">
        <x:v>20</x:v>
      </x:c>
      <x:c r="N210" s="1" t="s">
        <x:v>20</x:v>
      </x:c>
      <x:c r="O210" s="1" t="s">
        <x:v>20</x:v>
      </x:c>
      <x:c r="P210" s="1" t="s">
        <x:v>20</x:v>
      </x:c>
      <x:c r="Q210" s="1" t="s">
        <x:v>20</x:v>
      </x:c>
    </x:row>
    <x:row r="211" spans="1:17">
      <x:c r="A211" s="1" t="s">
        <x:v>20</x:v>
      </x:c>
      <x:c r="B211" s="2" t="s">
        <x:v>20</x:v>
      </x:c>
      <x:c r="C211" s="2" t="s">
        <x:v>20</x:v>
      </x:c>
      <x:c r="D211" s="1" t="s">
        <x:v>20</x:v>
      </x:c>
      <x:c r="E211" s="1" t="s">
        <x:v>28</x:v>
      </x:c>
      <x:c r="F211" s="1" t="s">
        <x:v>20</x:v>
      </x:c>
      <x:c r="G211" s="1" t="s">
        <x:v>20</x:v>
      </x:c>
      <x:c r="H211" s="1" t="s">
        <x:v>29</x:v>
      </x:c>
      <x:c r="I211" s="1" t="s">
        <x:v>20</x:v>
      </x:c>
      <x:c r="J211" s="1" t="s">
        <x:v>20</x:v>
      </x:c>
      <x:c r="K211" s="1" t="s">
        <x:v>20</x:v>
      </x:c>
      <x:c r="L211" s="1" t="s">
        <x:v>20</x:v>
      </x:c>
      <x:c r="M211" s="1" t="s">
        <x:v>20</x:v>
      </x:c>
      <x:c r="N211" s="1" t="s">
        <x:v>20</x:v>
      </x:c>
      <x:c r="O211" s="1" t="s">
        <x:v>20</x:v>
      </x:c>
      <x:c r="P211" s="1" t="s">
        <x:v>20</x:v>
      </x:c>
      <x:c r="Q211" s="1" t="s">
        <x:v>20</x:v>
      </x:c>
    </x:row>
    <x:row r="212" spans="1:17">
      <x:c r="A212" s="1" t="s">
        <x:v>20</x:v>
      </x:c>
      <x:c r="B212" s="2" t="s">
        <x:v>20</x:v>
      </x:c>
      <x:c r="C212" s="2" t="s">
        <x:v>20</x:v>
      </x:c>
      <x:c r="D212" s="1" t="s">
        <x:v>20</x:v>
      </x:c>
      <x:c r="E212" s="1" t="s">
        <x:v>30</x:v>
      </x:c>
      <x:c r="F212" s="1" t="s">
        <x:v>20</x:v>
      </x:c>
      <x:c r="G212" s="1" t="s">
        <x:v>20</x:v>
      </x:c>
      <x:c r="H212" s="1" t="s">
        <x:v>31</x:v>
      </x:c>
      <x:c r="I212" s="1" t="s">
        <x:v>20</x:v>
      </x:c>
      <x:c r="J212" s="1" t="s">
        <x:v>20</x:v>
      </x:c>
      <x:c r="K212" s="1" t="s">
        <x:v>20</x:v>
      </x:c>
      <x:c r="L212" s="1" t="s">
        <x:v>20</x:v>
      </x:c>
      <x:c r="M212" s="1" t="s">
        <x:v>20</x:v>
      </x:c>
      <x:c r="N212" s="1" t="s">
        <x:v>20</x:v>
      </x:c>
      <x:c r="O212" s="1" t="s">
        <x:v>20</x:v>
      </x:c>
      <x:c r="P212" s="1" t="s">
        <x:v>20</x:v>
      </x:c>
      <x:c r="Q212" s="1" t="s">
        <x:v>20</x:v>
      </x:c>
    </x:row>
    <x:row r="213" spans="1:17">
      <x:c r="A213" s="1" t="s">
        <x:v>20</x:v>
      </x:c>
      <x:c r="B213" s="2" t="s">
        <x:v>20</x:v>
      </x:c>
      <x:c r="C213" s="2" t="s">
        <x:v>20</x:v>
      </x:c>
      <x:c r="D213" s="1" t="s">
        <x:v>20</x:v>
      </x:c>
      <x:c r="E213" s="1" t="s">
        <x:v>20</x:v>
      </x:c>
      <x:c r="F213" s="1" t="s">
        <x:v>125</x:v>
      </x:c>
      <x:c r="G213" s="1" t="s">
        <x:v>20</x:v>
      </x:c>
      <x:c r="H213" s="1" t="s">
        <x:v>105</x:v>
      </x:c>
      <x:c r="I213" s="1" t="s">
        <x:v>20</x:v>
      </x:c>
      <x:c r="J213" s="1" t="s">
        <x:v>20</x:v>
      </x:c>
      <x:c r="K213" s="1" t="s">
        <x:v>20</x:v>
      </x:c>
      <x:c r="L213" s="1" t="s">
        <x:v>20</x:v>
      </x:c>
      <x:c r="M213" s="1" t="s">
        <x:v>20</x:v>
      </x:c>
      <x:c r="N213" s="1" t="s">
        <x:v>20</x:v>
      </x:c>
      <x:c r="O213" s="1" t="s">
        <x:v>20</x:v>
      </x:c>
      <x:c r="P213" s="1" t="s">
        <x:v>20</x:v>
      </x:c>
      <x:c r="Q213" s="1" t="s">
        <x:v>20</x:v>
      </x:c>
    </x:row>
    <x:row r="214" spans="1:17">
      <x:c r="A214" s="1" t="s">
        <x:v>20</x:v>
      </x:c>
      <x:c r="B214" s="2" t="s">
        <x:v>20</x:v>
      </x:c>
      <x:c r="C214" s="2" t="s">
        <x:v>20</x:v>
      </x:c>
      <x:c r="D214" s="1" t="s">
        <x:v>20</x:v>
      </x:c>
      <x:c r="E214" s="1" t="s">
        <x:v>20</x:v>
      </x:c>
      <x:c r="F214" s="1" t="s">
        <x:v>86</x:v>
      </x:c>
      <x:c r="G214" s="1" t="s">
        <x:v>20</x:v>
      </x:c>
      <x:c r="H214" s="1" t="s">
        <x:v>128</x:v>
      </x:c>
      <x:c r="I214" s="1" t="s">
        <x:v>20</x:v>
      </x:c>
      <x:c r="J214" s="1" t="s">
        <x:v>20</x:v>
      </x:c>
      <x:c r="K214" s="1" t="s">
        <x:v>20</x:v>
      </x:c>
      <x:c r="L214" s="1" t="s">
        <x:v>20</x:v>
      </x:c>
      <x:c r="M214" s="1" t="s">
        <x:v>20</x:v>
      </x:c>
      <x:c r="N214" s="1" t="s">
        <x:v>20</x:v>
      </x:c>
      <x:c r="O214" s="1" t="s">
        <x:v>20</x:v>
      </x:c>
      <x:c r="P214" s="1" t="s">
        <x:v>20</x:v>
      </x:c>
      <x:c r="Q214" s="1" t="s">
        <x:v>20</x:v>
      </x:c>
    </x:row>
    <x:row r="215" spans="1:17">
      <x:c r="A215" s="1" t="s">
        <x:v>135</x:v>
      </x:c>
      <x:c r="B215" s="2" t="s">
        <x:v>18</x:v>
      </x:c>
      <x:c r="C215" s="2">
        <x:f>HYPERLINK("https://team-oisq.testit.software/projects/1/tests/38", "Проверка авторизации с пробелом в середине email и  паролем, введённым с caps lock")</x:f>
      </x:c>
      <x:c r="D215" s="1" t="s">
        <x:v>19</x:v>
      </x:c>
      <x:c r="E215" s="1" t="s">
        <x:v>20</x:v>
      </x:c>
      <x:c r="F215" s="1" t="s">
        <x:v>20</x:v>
      </x:c>
      <x:c r="G215" s="1" t="s">
        <x:v>20</x:v>
      </x:c>
      <x:c r="H215" s="1" t="s">
        <x:v>20</x:v>
      </x:c>
      <x:c r="I215" s="1" t="s">
        <x:v>20</x:v>
      </x:c>
      <x:c r="J215" s="1" t="s">
        <x:v>20</x:v>
      </x:c>
      <x:c r="K215" s="1" t="s">
        <x:v>20</x:v>
      </x:c>
      <x:c r="L215" s="1" t="s">
        <x:v>21</x:v>
      </x:c>
      <x:c r="M215" s="1" t="s">
        <x:v>22</x:v>
      </x:c>
      <x:c r="N215" s="1" t="s">
        <x:v>136</x:v>
      </x:c>
      <x:c r="O215" s="1" t="s">
        <x:v>24</x:v>
      </x:c>
      <x:c r="P215" s="1" t="s">
        <x:v>25</x:v>
      </x:c>
      <x:c r="Q215" s="1" t="s">
        <x:v>26</x:v>
      </x:c>
    </x:row>
    <x:row r="216" spans="1:17">
      <x:c r="A216" s="1" t="s">
        <x:v>20</x:v>
      </x:c>
      <x:c r="B216" s="2" t="s">
        <x:v>20</x:v>
      </x:c>
      <x:c r="C216" s="2" t="s">
        <x:v>20</x:v>
      </x:c>
      <x:c r="D216" s="1" t="s">
        <x:v>20</x:v>
      </x:c>
      <x:c r="E216" s="1" t="s">
        <x:v>27</x:v>
      </x:c>
      <x:c r="F216" s="1" t="s">
        <x:v>20</x:v>
      </x:c>
      <x:c r="G216" s="1" t="s">
        <x:v>20</x:v>
      </x:c>
      <x:c r="H216" s="1" t="s">
        <x:v>20</x:v>
      </x:c>
      <x:c r="I216" s="1" t="s">
        <x:v>20</x:v>
      </x:c>
      <x:c r="J216" s="1" t="s">
        <x:v>20</x:v>
      </x:c>
      <x:c r="K216" s="1" t="s">
        <x:v>20</x:v>
      </x:c>
      <x:c r="L216" s="1" t="s">
        <x:v>20</x:v>
      </x:c>
      <x:c r="M216" s="1" t="s">
        <x:v>20</x:v>
      </x:c>
      <x:c r="N216" s="1" t="s">
        <x:v>20</x:v>
      </x:c>
      <x:c r="O216" s="1" t="s">
        <x:v>20</x:v>
      </x:c>
      <x:c r="P216" s="1" t="s">
        <x:v>20</x:v>
      </x:c>
      <x:c r="Q216" s="1" t="s">
        <x:v>20</x:v>
      </x:c>
    </x:row>
    <x:row r="217" spans="1:17">
      <x:c r="A217" s="1" t="s">
        <x:v>20</x:v>
      </x:c>
      <x:c r="B217" s="2" t="s">
        <x:v>20</x:v>
      </x:c>
      <x:c r="C217" s="2" t="s">
        <x:v>20</x:v>
      </x:c>
      <x:c r="D217" s="1" t="s">
        <x:v>20</x:v>
      </x:c>
      <x:c r="E217" s="1" t="s">
        <x:v>28</x:v>
      </x:c>
      <x:c r="F217" s="1" t="s">
        <x:v>20</x:v>
      </x:c>
      <x:c r="G217" s="1" t="s">
        <x:v>20</x:v>
      </x:c>
      <x:c r="H217" s="1" t="s">
        <x:v>29</x:v>
      </x:c>
      <x:c r="I217" s="1" t="s">
        <x:v>20</x:v>
      </x:c>
      <x:c r="J217" s="1" t="s">
        <x:v>20</x:v>
      </x:c>
      <x:c r="K217" s="1" t="s">
        <x:v>20</x:v>
      </x:c>
      <x:c r="L217" s="1" t="s">
        <x:v>20</x:v>
      </x:c>
      <x:c r="M217" s="1" t="s">
        <x:v>20</x:v>
      </x:c>
      <x:c r="N217" s="1" t="s">
        <x:v>20</x:v>
      </x:c>
      <x:c r="O217" s="1" t="s">
        <x:v>20</x:v>
      </x:c>
      <x:c r="P217" s="1" t="s">
        <x:v>20</x:v>
      </x:c>
      <x:c r="Q217" s="1" t="s">
        <x:v>20</x:v>
      </x:c>
    </x:row>
    <x:row r="218" spans="1:17">
      <x:c r="A218" s="1" t="s">
        <x:v>20</x:v>
      </x:c>
      <x:c r="B218" s="2" t="s">
        <x:v>20</x:v>
      </x:c>
      <x:c r="C218" s="2" t="s">
        <x:v>20</x:v>
      </x:c>
      <x:c r="D218" s="1" t="s">
        <x:v>20</x:v>
      </x:c>
      <x:c r="E218" s="1" t="s">
        <x:v>30</x:v>
      </x:c>
      <x:c r="F218" s="1" t="s">
        <x:v>20</x:v>
      </x:c>
      <x:c r="G218" s="1" t="s">
        <x:v>20</x:v>
      </x:c>
      <x:c r="H218" s="1" t="s">
        <x:v>31</x:v>
      </x:c>
      <x:c r="I218" s="1" t="s">
        <x:v>20</x:v>
      </x:c>
      <x:c r="J218" s="1" t="s">
        <x:v>20</x:v>
      </x:c>
      <x:c r="K218" s="1" t="s">
        <x:v>20</x:v>
      </x:c>
      <x:c r="L218" s="1" t="s">
        <x:v>20</x:v>
      </x:c>
      <x:c r="M218" s="1" t="s">
        <x:v>20</x:v>
      </x:c>
      <x:c r="N218" s="1" t="s">
        <x:v>20</x:v>
      </x:c>
      <x:c r="O218" s="1" t="s">
        <x:v>20</x:v>
      </x:c>
      <x:c r="P218" s="1" t="s">
        <x:v>20</x:v>
      </x:c>
      <x:c r="Q218" s="1" t="s">
        <x:v>20</x:v>
      </x:c>
    </x:row>
    <x:row r="219" spans="1:17">
      <x:c r="A219" s="1" t="s">
        <x:v>20</x:v>
      </x:c>
      <x:c r="B219" s="2" t="s">
        <x:v>20</x:v>
      </x:c>
      <x:c r="C219" s="2" t="s">
        <x:v>20</x:v>
      </x:c>
      <x:c r="D219" s="1" t="s">
        <x:v>20</x:v>
      </x:c>
      <x:c r="E219" s="1" t="s">
        <x:v>20</x:v>
      </x:c>
      <x:c r="F219" s="1" t="s">
        <x:v>125</x:v>
      </x:c>
      <x:c r="G219" s="1" t="s">
        <x:v>20</x:v>
      </x:c>
      <x:c r="H219" s="1" t="s">
        <x:v>105</x:v>
      </x:c>
      <x:c r="I219" s="1" t="s">
        <x:v>20</x:v>
      </x:c>
      <x:c r="J219" s="1" t="s">
        <x:v>20</x:v>
      </x:c>
      <x:c r="K219" s="1" t="s">
        <x:v>20</x:v>
      </x:c>
      <x:c r="L219" s="1" t="s">
        <x:v>20</x:v>
      </x:c>
      <x:c r="M219" s="1" t="s">
        <x:v>20</x:v>
      </x:c>
      <x:c r="N219" s="1" t="s">
        <x:v>20</x:v>
      </x:c>
      <x:c r="O219" s="1" t="s">
        <x:v>20</x:v>
      </x:c>
      <x:c r="P219" s="1" t="s">
        <x:v>20</x:v>
      </x:c>
      <x:c r="Q219" s="1" t="s">
        <x:v>20</x:v>
      </x:c>
    </x:row>
    <x:row r="220" spans="1:17">
      <x:c r="A220" s="1" t="s">
        <x:v>20</x:v>
      </x:c>
      <x:c r="B220" s="2" t="s">
        <x:v>20</x:v>
      </x:c>
      <x:c r="C220" s="2" t="s">
        <x:v>20</x:v>
      </x:c>
      <x:c r="D220" s="1" t="s">
        <x:v>20</x:v>
      </x:c>
      <x:c r="E220" s="1" t="s">
        <x:v>20</x:v>
      </x:c>
      <x:c r="F220" s="1" t="s">
        <x:v>86</x:v>
      </x:c>
      <x:c r="G220" s="1" t="s">
        <x:v>20</x:v>
      </x:c>
      <x:c r="H220" s="1" t="s">
        <x:v>128</x:v>
      </x:c>
      <x:c r="I220" s="1" t="s">
        <x:v>20</x:v>
      </x:c>
      <x:c r="J220" s="1" t="s">
        <x:v>20</x:v>
      </x:c>
      <x:c r="K220" s="1" t="s">
        <x:v>20</x:v>
      </x:c>
      <x:c r="L220" s="1" t="s">
        <x:v>20</x:v>
      </x:c>
      <x:c r="M220" s="1" t="s">
        <x:v>20</x:v>
      </x:c>
      <x:c r="N220" s="1" t="s">
        <x:v>20</x:v>
      </x:c>
      <x:c r="O220" s="1" t="s">
        <x:v>20</x:v>
      </x:c>
      <x:c r="P220" s="1" t="s">
        <x:v>20</x:v>
      </x:c>
      <x:c r="Q220" s="1" t="s">
        <x:v>20</x:v>
      </x:c>
    </x:row>
    <x:row r="221" spans="1:17">
      <x:c r="A221" s="1" t="s">
        <x:v>137</x:v>
      </x:c>
      <x:c r="B221" s="2" t="s">
        <x:v>18</x:v>
      </x:c>
      <x:c r="C221" s="2">
        <x:f>HYPERLINK("https://team-oisq.testit.software/projects/1/tests/39", "Проверка авторизации с пробелом в середине email и  паролем, введённым  кириллицей")</x:f>
      </x:c>
      <x:c r="D221" s="1" t="s">
        <x:v>19</x:v>
      </x:c>
      <x:c r="E221" s="1" t="s">
        <x:v>20</x:v>
      </x:c>
      <x:c r="F221" s="1" t="s">
        <x:v>20</x:v>
      </x:c>
      <x:c r="G221" s="1" t="s">
        <x:v>20</x:v>
      </x:c>
      <x:c r="H221" s="1" t="s">
        <x:v>20</x:v>
      </x:c>
      <x:c r="I221" s="1" t="s">
        <x:v>20</x:v>
      </x:c>
      <x:c r="J221" s="1" t="s">
        <x:v>20</x:v>
      </x:c>
      <x:c r="K221" s="1" t="s">
        <x:v>20</x:v>
      </x:c>
      <x:c r="L221" s="1" t="s">
        <x:v>21</x:v>
      </x:c>
      <x:c r="M221" s="1" t="s">
        <x:v>22</x:v>
      </x:c>
      <x:c r="N221" s="1" t="s">
        <x:v>138</x:v>
      </x:c>
      <x:c r="O221" s="1" t="s">
        <x:v>24</x:v>
      </x:c>
      <x:c r="P221" s="1" t="s">
        <x:v>25</x:v>
      </x:c>
      <x:c r="Q221" s="1" t="s">
        <x:v>94</x:v>
      </x:c>
    </x:row>
    <x:row r="222" spans="1:17">
      <x:c r="A222" s="1" t="s">
        <x:v>20</x:v>
      </x:c>
      <x:c r="B222" s="2" t="s">
        <x:v>20</x:v>
      </x:c>
      <x:c r="C222" s="2" t="s">
        <x:v>20</x:v>
      </x:c>
      <x:c r="D222" s="1" t="s">
        <x:v>20</x:v>
      </x:c>
      <x:c r="E222" s="1" t="s">
        <x:v>27</x:v>
      </x:c>
      <x:c r="F222" s="1" t="s">
        <x:v>20</x:v>
      </x:c>
      <x:c r="G222" s="1" t="s">
        <x:v>20</x:v>
      </x:c>
      <x:c r="H222" s="1" t="s">
        <x:v>20</x:v>
      </x:c>
      <x:c r="I222" s="1" t="s">
        <x:v>20</x:v>
      </x:c>
      <x:c r="J222" s="1" t="s">
        <x:v>20</x:v>
      </x:c>
      <x:c r="K222" s="1" t="s">
        <x:v>20</x:v>
      </x:c>
      <x:c r="L222" s="1" t="s">
        <x:v>20</x:v>
      </x:c>
      <x:c r="M222" s="1" t="s">
        <x:v>20</x:v>
      </x:c>
      <x:c r="N222" s="1" t="s">
        <x:v>20</x:v>
      </x:c>
      <x:c r="O222" s="1" t="s">
        <x:v>20</x:v>
      </x:c>
      <x:c r="P222" s="1" t="s">
        <x:v>20</x:v>
      </x:c>
      <x:c r="Q222" s="1" t="s">
        <x:v>20</x:v>
      </x:c>
    </x:row>
    <x:row r="223" spans="1:17">
      <x:c r="A223" s="1" t="s">
        <x:v>20</x:v>
      </x:c>
      <x:c r="B223" s="2" t="s">
        <x:v>20</x:v>
      </x:c>
      <x:c r="C223" s="2" t="s">
        <x:v>20</x:v>
      </x:c>
      <x:c r="D223" s="1" t="s">
        <x:v>20</x:v>
      </x:c>
      <x:c r="E223" s="1" t="s">
        <x:v>28</x:v>
      </x:c>
      <x:c r="F223" s="1" t="s">
        <x:v>20</x:v>
      </x:c>
      <x:c r="G223" s="1" t="s">
        <x:v>20</x:v>
      </x:c>
      <x:c r="H223" s="1" t="s">
        <x:v>29</x:v>
      </x:c>
      <x:c r="I223" s="1" t="s">
        <x:v>20</x:v>
      </x:c>
      <x:c r="J223" s="1" t="s">
        <x:v>20</x:v>
      </x:c>
      <x:c r="K223" s="1" t="s">
        <x:v>20</x:v>
      </x:c>
      <x:c r="L223" s="1" t="s">
        <x:v>20</x:v>
      </x:c>
      <x:c r="M223" s="1" t="s">
        <x:v>20</x:v>
      </x:c>
      <x:c r="N223" s="1" t="s">
        <x:v>20</x:v>
      </x:c>
      <x:c r="O223" s="1" t="s">
        <x:v>20</x:v>
      </x:c>
      <x:c r="P223" s="1" t="s">
        <x:v>20</x:v>
      </x:c>
      <x:c r="Q223" s="1" t="s">
        <x:v>20</x:v>
      </x:c>
    </x:row>
    <x:row r="224" spans="1:17">
      <x:c r="A224" s="1" t="s">
        <x:v>20</x:v>
      </x:c>
      <x:c r="B224" s="2" t="s">
        <x:v>20</x:v>
      </x:c>
      <x:c r="C224" s="2" t="s">
        <x:v>20</x:v>
      </x:c>
      <x:c r="D224" s="1" t="s">
        <x:v>20</x:v>
      </x:c>
      <x:c r="E224" s="1" t="s">
        <x:v>30</x:v>
      </x:c>
      <x:c r="F224" s="1" t="s">
        <x:v>20</x:v>
      </x:c>
      <x:c r="G224" s="1" t="s">
        <x:v>20</x:v>
      </x:c>
      <x:c r="H224" s="1" t="s">
        <x:v>31</x:v>
      </x:c>
      <x:c r="I224" s="1" t="s">
        <x:v>20</x:v>
      </x:c>
      <x:c r="J224" s="1" t="s">
        <x:v>20</x:v>
      </x:c>
      <x:c r="K224" s="1" t="s">
        <x:v>20</x:v>
      </x:c>
      <x:c r="L224" s="1" t="s">
        <x:v>20</x:v>
      </x:c>
      <x:c r="M224" s="1" t="s">
        <x:v>20</x:v>
      </x:c>
      <x:c r="N224" s="1" t="s">
        <x:v>20</x:v>
      </x:c>
      <x:c r="O224" s="1" t="s">
        <x:v>20</x:v>
      </x:c>
      <x:c r="P224" s="1" t="s">
        <x:v>20</x:v>
      </x:c>
      <x:c r="Q224" s="1" t="s">
        <x:v>20</x:v>
      </x:c>
    </x:row>
    <x:row r="225" spans="1:17">
      <x:c r="A225" s="1" t="s">
        <x:v>20</x:v>
      </x:c>
      <x:c r="B225" s="2" t="s">
        <x:v>20</x:v>
      </x:c>
      <x:c r="C225" s="2" t="s">
        <x:v>20</x:v>
      </x:c>
      <x:c r="D225" s="1" t="s">
        <x:v>20</x:v>
      </x:c>
      <x:c r="E225" s="1" t="s">
        <x:v>20</x:v>
      </x:c>
      <x:c r="F225" s="1" t="s">
        <x:v>125</x:v>
      </x:c>
      <x:c r="G225" s="1" t="s">
        <x:v>20</x:v>
      </x:c>
      <x:c r="H225" s="1" t="s">
        <x:v>105</x:v>
      </x:c>
      <x:c r="I225" s="1" t="s">
        <x:v>20</x:v>
      </x:c>
      <x:c r="J225" s="1" t="s">
        <x:v>20</x:v>
      </x:c>
      <x:c r="K225" s="1" t="s">
        <x:v>20</x:v>
      </x:c>
      <x:c r="L225" s="1" t="s">
        <x:v>20</x:v>
      </x:c>
      <x:c r="M225" s="1" t="s">
        <x:v>20</x:v>
      </x:c>
      <x:c r="N225" s="1" t="s">
        <x:v>20</x:v>
      </x:c>
      <x:c r="O225" s="1" t="s">
        <x:v>20</x:v>
      </x:c>
      <x:c r="P225" s="1" t="s">
        <x:v>20</x:v>
      </x:c>
      <x:c r="Q225" s="1" t="s">
        <x:v>20</x:v>
      </x:c>
    </x:row>
    <x:row r="226" spans="1:17">
      <x:c r="A226" s="1" t="s">
        <x:v>20</x:v>
      </x:c>
      <x:c r="B226" s="2" t="s">
        <x:v>20</x:v>
      </x:c>
      <x:c r="C226" s="2" t="s">
        <x:v>20</x:v>
      </x:c>
      <x:c r="D226" s="1" t="s">
        <x:v>20</x:v>
      </x:c>
      <x:c r="E226" s="1" t="s">
        <x:v>20</x:v>
      </x:c>
      <x:c r="F226" s="1" t="s">
        <x:v>86</x:v>
      </x:c>
      <x:c r="G226" s="1" t="s">
        <x:v>20</x:v>
      </x:c>
      <x:c r="H226" s="1" t="s">
        <x:v>128</x:v>
      </x:c>
      <x:c r="I226" s="1" t="s">
        <x:v>20</x:v>
      </x:c>
      <x:c r="J226" s="1" t="s">
        <x:v>20</x:v>
      </x:c>
      <x:c r="K226" s="1" t="s">
        <x:v>20</x:v>
      </x:c>
      <x:c r="L226" s="1" t="s">
        <x:v>20</x:v>
      </x:c>
      <x:c r="M226" s="1" t="s">
        <x:v>20</x:v>
      </x:c>
      <x:c r="N226" s="1" t="s">
        <x:v>20</x:v>
      </x:c>
      <x:c r="O226" s="1" t="s">
        <x:v>20</x:v>
      </x:c>
      <x:c r="P226" s="1" t="s">
        <x:v>20</x:v>
      </x:c>
      <x:c r="Q226" s="1" t="s">
        <x:v>20</x:v>
      </x:c>
    </x:row>
    <x:row r="227" spans="1:17">
      <x:c r="A227" s="1" t="s">
        <x:v>139</x:v>
      </x:c>
      <x:c r="B227" s="2" t="s">
        <x:v>18</x:v>
      </x:c>
      <x:c r="C227" s="2">
        <x:f>HYPERLINK("https://team-oisq.testit.software/projects/1/tests/40", "Проверка авторизации с email, введённым с caps lock и  валидным паролем")</x:f>
      </x:c>
      <x:c r="D227" s="1" t="s">
        <x:v>19</x:v>
      </x:c>
      <x:c r="E227" s="1" t="s">
        <x:v>20</x:v>
      </x:c>
      <x:c r="F227" s="1" t="s">
        <x:v>20</x:v>
      </x:c>
      <x:c r="G227" s="1" t="s">
        <x:v>20</x:v>
      </x:c>
      <x:c r="H227" s="1" t="s">
        <x:v>20</x:v>
      </x:c>
      <x:c r="I227" s="1" t="s">
        <x:v>20</x:v>
      </x:c>
      <x:c r="J227" s="1" t="s">
        <x:v>20</x:v>
      </x:c>
      <x:c r="K227" s="1" t="s">
        <x:v>20</x:v>
      </x:c>
      <x:c r="L227" s="1" t="s">
        <x:v>21</x:v>
      </x:c>
      <x:c r="M227" s="1" t="s">
        <x:v>22</x:v>
      </x:c>
      <x:c r="N227" s="1" t="s">
        <x:v>140</x:v>
      </x:c>
      <x:c r="O227" s="1" t="s">
        <x:v>24</x:v>
      </x:c>
      <x:c r="P227" s="1" t="s">
        <x:v>25</x:v>
      </x:c>
      <x:c r="Q227" s="1" t="s">
        <x:v>26</x:v>
      </x:c>
    </x:row>
    <x:row r="228" spans="1:17">
      <x:c r="A228" s="1" t="s">
        <x:v>20</x:v>
      </x:c>
      <x:c r="B228" s="2" t="s">
        <x:v>20</x:v>
      </x:c>
      <x:c r="C228" s="2" t="s">
        <x:v>20</x:v>
      </x:c>
      <x:c r="D228" s="1" t="s">
        <x:v>20</x:v>
      </x:c>
      <x:c r="E228" s="1" t="s">
        <x:v>27</x:v>
      </x:c>
      <x:c r="F228" s="1" t="s">
        <x:v>20</x:v>
      </x:c>
      <x:c r="G228" s="1" t="s">
        <x:v>20</x:v>
      </x:c>
      <x:c r="H228" s="1" t="s">
        <x:v>20</x:v>
      </x:c>
      <x:c r="I228" s="1" t="s">
        <x:v>20</x:v>
      </x:c>
      <x:c r="J228" s="1" t="s">
        <x:v>20</x:v>
      </x:c>
      <x:c r="K228" s="1" t="s">
        <x:v>20</x:v>
      </x:c>
      <x:c r="L228" s="1" t="s">
        <x:v>20</x:v>
      </x:c>
      <x:c r="M228" s="1" t="s">
        <x:v>20</x:v>
      </x:c>
      <x:c r="N228" s="1" t="s">
        <x:v>20</x:v>
      </x:c>
      <x:c r="O228" s="1" t="s">
        <x:v>20</x:v>
      </x:c>
      <x:c r="P228" s="1" t="s">
        <x:v>20</x:v>
      </x:c>
      <x:c r="Q228" s="1" t="s">
        <x:v>20</x:v>
      </x:c>
    </x:row>
    <x:row r="229" spans="1:17">
      <x:c r="A229" s="1" t="s">
        <x:v>20</x:v>
      </x:c>
      <x:c r="B229" s="2" t="s">
        <x:v>20</x:v>
      </x:c>
      <x:c r="C229" s="2" t="s">
        <x:v>20</x:v>
      </x:c>
      <x:c r="D229" s="1" t="s">
        <x:v>20</x:v>
      </x:c>
      <x:c r="E229" s="1" t="s">
        <x:v>28</x:v>
      </x:c>
      <x:c r="F229" s="1" t="s">
        <x:v>20</x:v>
      </x:c>
      <x:c r="G229" s="1" t="s">
        <x:v>20</x:v>
      </x:c>
      <x:c r="H229" s="1" t="s">
        <x:v>29</x:v>
      </x:c>
      <x:c r="I229" s="1" t="s">
        <x:v>20</x:v>
      </x:c>
      <x:c r="J229" s="1" t="s">
        <x:v>20</x:v>
      </x:c>
      <x:c r="K229" s="1" t="s">
        <x:v>20</x:v>
      </x:c>
      <x:c r="L229" s="1" t="s">
        <x:v>20</x:v>
      </x:c>
      <x:c r="M229" s="1" t="s">
        <x:v>20</x:v>
      </x:c>
      <x:c r="N229" s="1" t="s">
        <x:v>20</x:v>
      </x:c>
      <x:c r="O229" s="1" t="s">
        <x:v>20</x:v>
      </x:c>
      <x:c r="P229" s="1" t="s">
        <x:v>20</x:v>
      </x:c>
      <x:c r="Q229" s="1" t="s">
        <x:v>20</x:v>
      </x:c>
    </x:row>
    <x:row r="230" spans="1:17">
      <x:c r="A230" s="1" t="s">
        <x:v>20</x:v>
      </x:c>
      <x:c r="B230" s="2" t="s">
        <x:v>20</x:v>
      </x:c>
      <x:c r="C230" s="2" t="s">
        <x:v>20</x:v>
      </x:c>
      <x:c r="D230" s="1" t="s">
        <x:v>20</x:v>
      </x:c>
      <x:c r="E230" s="1" t="s">
        <x:v>30</x:v>
      </x:c>
      <x:c r="F230" s="1" t="s">
        <x:v>20</x:v>
      </x:c>
      <x:c r="G230" s="1" t="s">
        <x:v>20</x:v>
      </x:c>
      <x:c r="H230" s="1" t="s">
        <x:v>31</x:v>
      </x:c>
      <x:c r="I230" s="1" t="s">
        <x:v>20</x:v>
      </x:c>
      <x:c r="J230" s="1" t="s">
        <x:v>20</x:v>
      </x:c>
      <x:c r="K230" s="1" t="s">
        <x:v>20</x:v>
      </x:c>
      <x:c r="L230" s="1" t="s">
        <x:v>20</x:v>
      </x:c>
      <x:c r="M230" s="1" t="s">
        <x:v>20</x:v>
      </x:c>
      <x:c r="N230" s="1" t="s">
        <x:v>20</x:v>
      </x:c>
      <x:c r="O230" s="1" t="s">
        <x:v>20</x:v>
      </x:c>
      <x:c r="P230" s="1" t="s">
        <x:v>20</x:v>
      </x:c>
      <x:c r="Q230" s="1" t="s">
        <x:v>20</x:v>
      </x:c>
    </x:row>
    <x:row r="231" spans="1:17">
      <x:c r="A231" s="1" t="s">
        <x:v>20</x:v>
      </x:c>
      <x:c r="B231" s="2" t="s">
        <x:v>20</x:v>
      </x:c>
      <x:c r="C231" s="2" t="s">
        <x:v>20</x:v>
      </x:c>
      <x:c r="D231" s="1" t="s">
        <x:v>20</x:v>
      </x:c>
      <x:c r="E231" s="1" t="s">
        <x:v>20</x:v>
      </x:c>
      <x:c r="F231" s="1" t="s">
        <x:v>141</x:v>
      </x:c>
      <x:c r="G231" s="1" t="s">
        <x:v>20</x:v>
      </x:c>
      <x:c r="H231" s="1" t="s">
        <x:v>105</x:v>
      </x:c>
      <x:c r="I231" s="1" t="s">
        <x:v>20</x:v>
      </x:c>
      <x:c r="J231" s="1" t="s">
        <x:v>20</x:v>
      </x:c>
      <x:c r="K231" s="1" t="s">
        <x:v>20</x:v>
      </x:c>
      <x:c r="L231" s="1" t="s">
        <x:v>20</x:v>
      </x:c>
      <x:c r="M231" s="1" t="s">
        <x:v>20</x:v>
      </x:c>
      <x:c r="N231" s="1" t="s">
        <x:v>20</x:v>
      </x:c>
      <x:c r="O231" s="1" t="s">
        <x:v>20</x:v>
      </x:c>
      <x:c r="P231" s="1" t="s">
        <x:v>20</x:v>
      </x:c>
      <x:c r="Q231" s="1" t="s">
        <x:v>20</x:v>
      </x:c>
    </x:row>
    <x:row r="232" spans="1:17">
      <x:c r="A232" s="1" t="s">
        <x:v>20</x:v>
      </x:c>
      <x:c r="B232" s="2" t="s">
        <x:v>20</x:v>
      </x:c>
      <x:c r="C232" s="2" t="s">
        <x:v>20</x:v>
      </x:c>
      <x:c r="D232" s="1" t="s">
        <x:v>20</x:v>
      </x:c>
      <x:c r="E232" s="1" t="s">
        <x:v>20</x:v>
      </x:c>
      <x:c r="F232" s="1" t="s">
        <x:v>86</x:v>
      </x:c>
      <x:c r="G232" s="1" t="s">
        <x:v>20</x:v>
      </x:c>
      <x:c r="H232" s="1" t="s">
        <x:v>142</x:v>
      </x:c>
      <x:c r="I232" s="1" t="s">
        <x:v>20</x:v>
      </x:c>
      <x:c r="J232" s="1" t="s">
        <x:v>20</x:v>
      </x:c>
      <x:c r="K232" s="1" t="s">
        <x:v>20</x:v>
      </x:c>
      <x:c r="L232" s="1" t="s">
        <x:v>20</x:v>
      </x:c>
      <x:c r="M232" s="1" t="s">
        <x:v>20</x:v>
      </x:c>
      <x:c r="N232" s="1" t="s">
        <x:v>20</x:v>
      </x:c>
      <x:c r="O232" s="1" t="s">
        <x:v>20</x:v>
      </x:c>
      <x:c r="P232" s="1" t="s">
        <x:v>20</x:v>
      </x:c>
      <x:c r="Q232" s="1" t="s">
        <x:v>20</x:v>
      </x:c>
    </x:row>
    <x:row r="233" spans="1:17">
      <x:c r="A233" s="1" t="s">
        <x:v>20</x:v>
      </x:c>
      <x:c r="B233" s="2" t="s">
        <x:v>20</x:v>
      </x:c>
      <x:c r="C233" s="2" t="s">
        <x:v>20</x:v>
      </x:c>
      <x:c r="D233" s="1" t="s">
        <x:v>20</x:v>
      </x:c>
      <x:c r="E233" s="1" t="s">
        <x:v>20</x:v>
      </x:c>
      <x:c r="F233" s="1" t="s">
        <x:v>143</x:v>
      </x:c>
      <x:c r="G233" s="1" t="s">
        <x:v>20</x:v>
      </x:c>
      <x:c r="H233" s="1" t="s">
        <x:v>37</x:v>
      </x:c>
      <x:c r="I233" s="1" t="s">
        <x:v>20</x:v>
      </x:c>
      <x:c r="J233" s="1" t="s">
        <x:v>20</x:v>
      </x:c>
      <x:c r="K233" s="1" t="s">
        <x:v>20</x:v>
      </x:c>
      <x:c r="L233" s="1" t="s">
        <x:v>20</x:v>
      </x:c>
      <x:c r="M233" s="1" t="s">
        <x:v>20</x:v>
      </x:c>
      <x:c r="N233" s="1" t="s">
        <x:v>20</x:v>
      </x:c>
      <x:c r="O233" s="1" t="s">
        <x:v>20</x:v>
      </x:c>
      <x:c r="P233" s="1" t="s">
        <x:v>20</x:v>
      </x:c>
      <x:c r="Q233" s="1" t="s">
        <x:v>20</x:v>
      </x:c>
    </x:row>
    <x:row r="234" spans="1:17">
      <x:c r="A234" s="1" t="s">
        <x:v>20</x:v>
      </x:c>
      <x:c r="B234" s="2" t="s">
        <x:v>20</x:v>
      </x:c>
      <x:c r="C234" s="2" t="s">
        <x:v>20</x:v>
      </x:c>
      <x:c r="D234" s="1" t="s">
        <x:v>20</x:v>
      </x:c>
      <x:c r="E234" s="1" t="s">
        <x:v>20</x:v>
      </x:c>
      <x:c r="F234" s="1" t="s">
        <x:v>144</x:v>
      </x:c>
      <x:c r="G234" s="1" t="s">
        <x:v>20</x:v>
      </x:c>
      <x:c r="H234" s="1" t="s">
        <x:v>39</x:v>
      </x:c>
      <x:c r="I234" s="1" t="s">
        <x:v>20</x:v>
      </x:c>
      <x:c r="J234" s="1" t="s">
        <x:v>20</x:v>
      </x:c>
      <x:c r="K234" s="1" t="s">
        <x:v>20</x:v>
      </x:c>
      <x:c r="L234" s="1" t="s">
        <x:v>20</x:v>
      </x:c>
      <x:c r="M234" s="1" t="s">
        <x:v>20</x:v>
      </x:c>
      <x:c r="N234" s="1" t="s">
        <x:v>20</x:v>
      </x:c>
      <x:c r="O234" s="1" t="s">
        <x:v>20</x:v>
      </x:c>
      <x:c r="P234" s="1" t="s">
        <x:v>20</x:v>
      </x:c>
      <x:c r="Q234" s="1" t="s">
        <x:v>20</x:v>
      </x:c>
    </x:row>
    <x:row r="235" spans="1:17">
      <x:c r="A235" s="1" t="s">
        <x:v>145</x:v>
      </x:c>
      <x:c r="B235" s="2" t="s">
        <x:v>18</x:v>
      </x:c>
      <x:c r="C235" s="2">
        <x:f>HYPERLINK("https://team-oisq.testit.software/projects/1/tests/41", "Проверка авторизации с email, введённым с caps lock и  пустым полем пароль")</x:f>
      </x:c>
      <x:c r="D235" s="1" t="s">
        <x:v>19</x:v>
      </x:c>
      <x:c r="E235" s="1" t="s">
        <x:v>20</x:v>
      </x:c>
      <x:c r="F235" s="1" t="s">
        <x:v>20</x:v>
      </x:c>
      <x:c r="G235" s="1" t="s">
        <x:v>20</x:v>
      </x:c>
      <x:c r="H235" s="1" t="s">
        <x:v>20</x:v>
      </x:c>
      <x:c r="I235" s="1" t="s">
        <x:v>20</x:v>
      </x:c>
      <x:c r="J235" s="1" t="s">
        <x:v>20</x:v>
      </x:c>
      <x:c r="K235" s="1" t="s">
        <x:v>20</x:v>
      </x:c>
      <x:c r="L235" s="1" t="s">
        <x:v>21</x:v>
      </x:c>
      <x:c r="M235" s="1" t="s">
        <x:v>22</x:v>
      </x:c>
      <x:c r="N235" s="1" t="s">
        <x:v>146</x:v>
      </x:c>
      <x:c r="O235" s="1" t="s">
        <x:v>24</x:v>
      </x:c>
      <x:c r="P235" s="1" t="s">
        <x:v>25</x:v>
      </x:c>
      <x:c r="Q235" s="1" t="s">
        <x:v>26</x:v>
      </x:c>
    </x:row>
    <x:row r="236" spans="1:17">
      <x:c r="A236" s="1" t="s">
        <x:v>20</x:v>
      </x:c>
      <x:c r="B236" s="2" t="s">
        <x:v>20</x:v>
      </x:c>
      <x:c r="C236" s="2" t="s">
        <x:v>20</x:v>
      </x:c>
      <x:c r="D236" s="1" t="s">
        <x:v>20</x:v>
      </x:c>
      <x:c r="E236" s="1" t="s">
        <x:v>27</x:v>
      </x:c>
      <x:c r="F236" s="1" t="s">
        <x:v>20</x:v>
      </x:c>
      <x:c r="G236" s="1" t="s">
        <x:v>20</x:v>
      </x:c>
      <x:c r="H236" s="1" t="s">
        <x:v>20</x:v>
      </x:c>
      <x:c r="I236" s="1" t="s">
        <x:v>20</x:v>
      </x:c>
      <x:c r="J236" s="1" t="s">
        <x:v>20</x:v>
      </x:c>
      <x:c r="K236" s="1" t="s">
        <x:v>20</x:v>
      </x:c>
      <x:c r="L236" s="1" t="s">
        <x:v>20</x:v>
      </x:c>
      <x:c r="M236" s="1" t="s">
        <x:v>20</x:v>
      </x:c>
      <x:c r="N236" s="1" t="s">
        <x:v>20</x:v>
      </x:c>
      <x:c r="O236" s="1" t="s">
        <x:v>20</x:v>
      </x:c>
      <x:c r="P236" s="1" t="s">
        <x:v>20</x:v>
      </x:c>
      <x:c r="Q236" s="1" t="s">
        <x:v>20</x:v>
      </x:c>
    </x:row>
    <x:row r="237" spans="1:17">
      <x:c r="A237" s="1" t="s">
        <x:v>20</x:v>
      </x:c>
      <x:c r="B237" s="2" t="s">
        <x:v>20</x:v>
      </x:c>
      <x:c r="C237" s="2" t="s">
        <x:v>20</x:v>
      </x:c>
      <x:c r="D237" s="1" t="s">
        <x:v>20</x:v>
      </x:c>
      <x:c r="E237" s="1" t="s">
        <x:v>28</x:v>
      </x:c>
      <x:c r="F237" s="1" t="s">
        <x:v>20</x:v>
      </x:c>
      <x:c r="G237" s="1" t="s">
        <x:v>20</x:v>
      </x:c>
      <x:c r="H237" s="1" t="s">
        <x:v>29</x:v>
      </x:c>
      <x:c r="I237" s="1" t="s">
        <x:v>20</x:v>
      </x:c>
      <x:c r="J237" s="1" t="s">
        <x:v>20</x:v>
      </x:c>
      <x:c r="K237" s="1" t="s">
        <x:v>20</x:v>
      </x:c>
      <x:c r="L237" s="1" t="s">
        <x:v>20</x:v>
      </x:c>
      <x:c r="M237" s="1" t="s">
        <x:v>20</x:v>
      </x:c>
      <x:c r="N237" s="1" t="s">
        <x:v>20</x:v>
      </x:c>
      <x:c r="O237" s="1" t="s">
        <x:v>20</x:v>
      </x:c>
      <x:c r="P237" s="1" t="s">
        <x:v>20</x:v>
      </x:c>
      <x:c r="Q237" s="1" t="s">
        <x:v>20</x:v>
      </x:c>
    </x:row>
    <x:row r="238" spans="1:17">
      <x:c r="A238" s="1" t="s">
        <x:v>20</x:v>
      </x:c>
      <x:c r="B238" s="2" t="s">
        <x:v>20</x:v>
      </x:c>
      <x:c r="C238" s="2" t="s">
        <x:v>20</x:v>
      </x:c>
      <x:c r="D238" s="1" t="s">
        <x:v>20</x:v>
      </x:c>
      <x:c r="E238" s="1" t="s">
        <x:v>30</x:v>
      </x:c>
      <x:c r="F238" s="1" t="s">
        <x:v>20</x:v>
      </x:c>
      <x:c r="G238" s="1" t="s">
        <x:v>20</x:v>
      </x:c>
      <x:c r="H238" s="1" t="s">
        <x:v>31</x:v>
      </x:c>
      <x:c r="I238" s="1" t="s">
        <x:v>20</x:v>
      </x:c>
      <x:c r="J238" s="1" t="s">
        <x:v>20</x:v>
      </x:c>
      <x:c r="K238" s="1" t="s">
        <x:v>20</x:v>
      </x:c>
      <x:c r="L238" s="1" t="s">
        <x:v>20</x:v>
      </x:c>
      <x:c r="M238" s="1" t="s">
        <x:v>20</x:v>
      </x:c>
      <x:c r="N238" s="1" t="s">
        <x:v>20</x:v>
      </x:c>
      <x:c r="O238" s="1" t="s">
        <x:v>20</x:v>
      </x:c>
      <x:c r="P238" s="1" t="s">
        <x:v>20</x:v>
      </x:c>
      <x:c r="Q238" s="1" t="s">
        <x:v>20</x:v>
      </x:c>
    </x:row>
    <x:row r="239" spans="1:17">
      <x:c r="A239" s="1" t="s">
        <x:v>20</x:v>
      </x:c>
      <x:c r="B239" s="2" t="s">
        <x:v>20</x:v>
      </x:c>
      <x:c r="C239" s="2" t="s">
        <x:v>20</x:v>
      </x:c>
      <x:c r="D239" s="1" t="s">
        <x:v>20</x:v>
      </x:c>
      <x:c r="E239" s="1" t="s">
        <x:v>20</x:v>
      </x:c>
      <x:c r="F239" s="1" t="s">
        <x:v>141</x:v>
      </x:c>
      <x:c r="G239" s="1" t="s">
        <x:v>20</x:v>
      </x:c>
      <x:c r="H239" s="1" t="s">
        <x:v>105</x:v>
      </x:c>
      <x:c r="I239" s="1" t="s">
        <x:v>20</x:v>
      </x:c>
      <x:c r="J239" s="1" t="s">
        <x:v>20</x:v>
      </x:c>
      <x:c r="K239" s="1" t="s">
        <x:v>20</x:v>
      </x:c>
      <x:c r="L239" s="1" t="s">
        <x:v>20</x:v>
      </x:c>
      <x:c r="M239" s="1" t="s">
        <x:v>20</x:v>
      </x:c>
      <x:c r="N239" s="1" t="s">
        <x:v>20</x:v>
      </x:c>
      <x:c r="O239" s="1" t="s">
        <x:v>20</x:v>
      </x:c>
      <x:c r="P239" s="1" t="s">
        <x:v>20</x:v>
      </x:c>
      <x:c r="Q239" s="1" t="s">
        <x:v>20</x:v>
      </x:c>
    </x:row>
    <x:row r="240" spans="1:17">
      <x:c r="A240" s="1" t="s">
        <x:v>20</x:v>
      </x:c>
      <x:c r="B240" s="2" t="s">
        <x:v>20</x:v>
      </x:c>
      <x:c r="C240" s="2" t="s">
        <x:v>20</x:v>
      </x:c>
      <x:c r="D240" s="1" t="s">
        <x:v>20</x:v>
      </x:c>
      <x:c r="E240" s="1" t="s">
        <x:v>20</x:v>
      </x:c>
      <x:c r="F240" s="1" t="s">
        <x:v>86</x:v>
      </x:c>
      <x:c r="G240" s="1" t="s">
        <x:v>20</x:v>
      </x:c>
      <x:c r="H240" s="1" t="s">
        <x:v>142</x:v>
      </x:c>
      <x:c r="I240" s="1" t="s">
        <x:v>20</x:v>
      </x:c>
      <x:c r="J240" s="1" t="s">
        <x:v>20</x:v>
      </x:c>
      <x:c r="K240" s="1" t="s">
        <x:v>20</x:v>
      </x:c>
      <x:c r="L240" s="1" t="s">
        <x:v>20</x:v>
      </x:c>
      <x:c r="M240" s="1" t="s">
        <x:v>20</x:v>
      </x:c>
      <x:c r="N240" s="1" t="s">
        <x:v>20</x:v>
      </x:c>
      <x:c r="O240" s="1" t="s">
        <x:v>20</x:v>
      </x:c>
      <x:c r="P240" s="1" t="s">
        <x:v>20</x:v>
      </x:c>
      <x:c r="Q240" s="1" t="s">
        <x:v>20</x:v>
      </x:c>
    </x:row>
    <x:row r="241" spans="1:17">
      <x:c r="A241" s="1" t="s">
        <x:v>20</x:v>
      </x:c>
      <x:c r="B241" s="2" t="s">
        <x:v>20</x:v>
      </x:c>
      <x:c r="C241" s="2" t="s">
        <x:v>20</x:v>
      </x:c>
      <x:c r="D241" s="1" t="s">
        <x:v>20</x:v>
      </x:c>
      <x:c r="E241" s="1" t="s">
        <x:v>20</x:v>
      </x:c>
      <x:c r="F241" s="1" t="s">
        <x:v>147</x:v>
      </x:c>
      <x:c r="G241" s="1" t="s">
        <x:v>20</x:v>
      </x:c>
      <x:c r="H241" s="1" t="s">
        <x:v>43</x:v>
      </x:c>
      <x:c r="I241" s="1" t="s">
        <x:v>20</x:v>
      </x:c>
      <x:c r="J241" s="1" t="s">
        <x:v>20</x:v>
      </x:c>
      <x:c r="K241" s="1" t="s">
        <x:v>20</x:v>
      </x:c>
      <x:c r="L241" s="1" t="s">
        <x:v>20</x:v>
      </x:c>
      <x:c r="M241" s="1" t="s">
        <x:v>20</x:v>
      </x:c>
      <x:c r="N241" s="1" t="s">
        <x:v>20</x:v>
      </x:c>
      <x:c r="O241" s="1" t="s">
        <x:v>20</x:v>
      </x:c>
      <x:c r="P241" s="1" t="s">
        <x:v>20</x:v>
      </x:c>
      <x:c r="Q241" s="1" t="s">
        <x:v>20</x:v>
      </x:c>
    </x:row>
    <x:row r="242" spans="1:17">
      <x:c r="A242" s="1" t="s">
        <x:v>148</x:v>
      </x:c>
      <x:c r="B242" s="2" t="s">
        <x:v>18</x:v>
      </x:c>
      <x:c r="C242" s="2">
        <x:f>HYPERLINK("https://team-oisq.testit.software/projects/1/tests/42", "Проверка авторизации с email, введённым с caps lock и  двумя пробелами в поле пароль")</x:f>
      </x:c>
      <x:c r="D242" s="1" t="s">
        <x:v>19</x:v>
      </x:c>
      <x:c r="E242" s="1" t="s">
        <x:v>20</x:v>
      </x:c>
      <x:c r="F242" s="1" t="s">
        <x:v>20</x:v>
      </x:c>
      <x:c r="G242" s="1" t="s">
        <x:v>20</x:v>
      </x:c>
      <x:c r="H242" s="1" t="s">
        <x:v>20</x:v>
      </x:c>
      <x:c r="I242" s="1" t="s">
        <x:v>20</x:v>
      </x:c>
      <x:c r="J242" s="1" t="s">
        <x:v>20</x:v>
      </x:c>
      <x:c r="K242" s="1" t="s">
        <x:v>20</x:v>
      </x:c>
      <x:c r="L242" s="1" t="s">
        <x:v>21</x:v>
      </x:c>
      <x:c r="M242" s="1" t="s">
        <x:v>22</x:v>
      </x:c>
      <x:c r="N242" s="1" t="s">
        <x:v>149</x:v>
      </x:c>
      <x:c r="O242" s="1" t="s">
        <x:v>24</x:v>
      </x:c>
      <x:c r="P242" s="1" t="s">
        <x:v>25</x:v>
      </x:c>
      <x:c r="Q242" s="1" t="s">
        <x:v>26</x:v>
      </x:c>
    </x:row>
    <x:row r="243" spans="1:17">
      <x:c r="A243" s="1" t="s">
        <x:v>20</x:v>
      </x:c>
      <x:c r="B243" s="2" t="s">
        <x:v>20</x:v>
      </x:c>
      <x:c r="C243" s="2" t="s">
        <x:v>20</x:v>
      </x:c>
      <x:c r="D243" s="1" t="s">
        <x:v>20</x:v>
      </x:c>
      <x:c r="E243" s="1" t="s">
        <x:v>27</x:v>
      </x:c>
      <x:c r="F243" s="1" t="s">
        <x:v>20</x:v>
      </x:c>
      <x:c r="G243" s="1" t="s">
        <x:v>20</x:v>
      </x:c>
      <x:c r="H243" s="1" t="s">
        <x:v>20</x:v>
      </x:c>
      <x:c r="I243" s="1" t="s">
        <x:v>20</x:v>
      </x:c>
      <x:c r="J243" s="1" t="s">
        <x:v>20</x:v>
      </x:c>
      <x:c r="K243" s="1" t="s">
        <x:v>20</x:v>
      </x:c>
      <x:c r="L243" s="1" t="s">
        <x:v>20</x:v>
      </x:c>
      <x:c r="M243" s="1" t="s">
        <x:v>20</x:v>
      </x:c>
      <x:c r="N243" s="1" t="s">
        <x:v>20</x:v>
      </x:c>
      <x:c r="O243" s="1" t="s">
        <x:v>20</x:v>
      </x:c>
      <x:c r="P243" s="1" t="s">
        <x:v>20</x:v>
      </x:c>
      <x:c r="Q243" s="1" t="s">
        <x:v>20</x:v>
      </x:c>
    </x:row>
    <x:row r="244" spans="1:17">
      <x:c r="A244" s="1" t="s">
        <x:v>20</x:v>
      </x:c>
      <x:c r="B244" s="2" t="s">
        <x:v>20</x:v>
      </x:c>
      <x:c r="C244" s="2" t="s">
        <x:v>20</x:v>
      </x:c>
      <x:c r="D244" s="1" t="s">
        <x:v>20</x:v>
      </x:c>
      <x:c r="E244" s="1" t="s">
        <x:v>28</x:v>
      </x:c>
      <x:c r="F244" s="1" t="s">
        <x:v>20</x:v>
      </x:c>
      <x:c r="G244" s="1" t="s">
        <x:v>20</x:v>
      </x:c>
      <x:c r="H244" s="1" t="s">
        <x:v>29</x:v>
      </x:c>
      <x:c r="I244" s="1" t="s">
        <x:v>20</x:v>
      </x:c>
      <x:c r="J244" s="1" t="s">
        <x:v>20</x:v>
      </x:c>
      <x:c r="K244" s="1" t="s">
        <x:v>20</x:v>
      </x:c>
      <x:c r="L244" s="1" t="s">
        <x:v>20</x:v>
      </x:c>
      <x:c r="M244" s="1" t="s">
        <x:v>20</x:v>
      </x:c>
      <x:c r="N244" s="1" t="s">
        <x:v>20</x:v>
      </x:c>
      <x:c r="O244" s="1" t="s">
        <x:v>20</x:v>
      </x:c>
      <x:c r="P244" s="1" t="s">
        <x:v>20</x:v>
      </x:c>
      <x:c r="Q244" s="1" t="s">
        <x:v>20</x:v>
      </x:c>
    </x:row>
    <x:row r="245" spans="1:17">
      <x:c r="A245" s="1" t="s">
        <x:v>20</x:v>
      </x:c>
      <x:c r="B245" s="2" t="s">
        <x:v>20</x:v>
      </x:c>
      <x:c r="C245" s="2" t="s">
        <x:v>20</x:v>
      </x:c>
      <x:c r="D245" s="1" t="s">
        <x:v>20</x:v>
      </x:c>
      <x:c r="E245" s="1" t="s">
        <x:v>30</x:v>
      </x:c>
      <x:c r="F245" s="1" t="s">
        <x:v>20</x:v>
      </x:c>
      <x:c r="G245" s="1" t="s">
        <x:v>20</x:v>
      </x:c>
      <x:c r="H245" s="1" t="s">
        <x:v>31</x:v>
      </x:c>
      <x:c r="I245" s="1" t="s">
        <x:v>20</x:v>
      </x:c>
      <x:c r="J245" s="1" t="s">
        <x:v>20</x:v>
      </x:c>
      <x:c r="K245" s="1" t="s">
        <x:v>20</x:v>
      </x:c>
      <x:c r="L245" s="1" t="s">
        <x:v>20</x:v>
      </x:c>
      <x:c r="M245" s="1" t="s">
        <x:v>20</x:v>
      </x:c>
      <x:c r="N245" s="1" t="s">
        <x:v>20</x:v>
      </x:c>
      <x:c r="O245" s="1" t="s">
        <x:v>20</x:v>
      </x:c>
      <x:c r="P245" s="1" t="s">
        <x:v>20</x:v>
      </x:c>
      <x:c r="Q245" s="1" t="s">
        <x:v>20</x:v>
      </x:c>
    </x:row>
    <x:row r="246" spans="1:17">
      <x:c r="A246" s="1" t="s">
        <x:v>20</x:v>
      </x:c>
      <x:c r="B246" s="2" t="s">
        <x:v>20</x:v>
      </x:c>
      <x:c r="C246" s="2" t="s">
        <x:v>20</x:v>
      </x:c>
      <x:c r="D246" s="1" t="s">
        <x:v>20</x:v>
      </x:c>
      <x:c r="E246" s="1" t="s">
        <x:v>20</x:v>
      </x:c>
      <x:c r="F246" s="1" t="s">
        <x:v>141</x:v>
      </x:c>
      <x:c r="G246" s="1" t="s">
        <x:v>20</x:v>
      </x:c>
      <x:c r="H246" s="1" t="s">
        <x:v>105</x:v>
      </x:c>
      <x:c r="I246" s="1" t="s">
        <x:v>20</x:v>
      </x:c>
      <x:c r="J246" s="1" t="s">
        <x:v>20</x:v>
      </x:c>
      <x:c r="K246" s="1" t="s">
        <x:v>20</x:v>
      </x:c>
      <x:c r="L246" s="1" t="s">
        <x:v>20</x:v>
      </x:c>
      <x:c r="M246" s="1" t="s">
        <x:v>20</x:v>
      </x:c>
      <x:c r="N246" s="1" t="s">
        <x:v>20</x:v>
      </x:c>
      <x:c r="O246" s="1" t="s">
        <x:v>20</x:v>
      </x:c>
      <x:c r="P246" s="1" t="s">
        <x:v>20</x:v>
      </x:c>
      <x:c r="Q246" s="1" t="s">
        <x:v>20</x:v>
      </x:c>
    </x:row>
    <x:row r="247" spans="1:17">
      <x:c r="A247" s="1" t="s">
        <x:v>20</x:v>
      </x:c>
      <x:c r="B247" s="2" t="s">
        <x:v>20</x:v>
      </x:c>
      <x:c r="C247" s="2" t="s">
        <x:v>20</x:v>
      </x:c>
      <x:c r="D247" s="1" t="s">
        <x:v>20</x:v>
      </x:c>
      <x:c r="E247" s="1" t="s">
        <x:v>20</x:v>
      </x:c>
      <x:c r="F247" s="1" t="s">
        <x:v>86</x:v>
      </x:c>
      <x:c r="G247" s="1" t="s">
        <x:v>20</x:v>
      </x:c>
      <x:c r="H247" s="1" t="s">
        <x:v>142</x:v>
      </x:c>
      <x:c r="I247" s="1" t="s">
        <x:v>20</x:v>
      </x:c>
      <x:c r="J247" s="1" t="s">
        <x:v>20</x:v>
      </x:c>
      <x:c r="K247" s="1" t="s">
        <x:v>20</x:v>
      </x:c>
      <x:c r="L247" s="1" t="s">
        <x:v>20</x:v>
      </x:c>
      <x:c r="M247" s="1" t="s">
        <x:v>20</x:v>
      </x:c>
      <x:c r="N247" s="1" t="s">
        <x:v>20</x:v>
      </x:c>
      <x:c r="O247" s="1" t="s">
        <x:v>20</x:v>
      </x:c>
      <x:c r="P247" s="1" t="s">
        <x:v>20</x:v>
      </x:c>
      <x:c r="Q247" s="1" t="s">
        <x:v>20</x:v>
      </x:c>
    </x:row>
    <x:row r="248" spans="1:17">
      <x:c r="A248" s="1" t="s">
        <x:v>20</x:v>
      </x:c>
      <x:c r="B248" s="2" t="s">
        <x:v>20</x:v>
      </x:c>
      <x:c r="C248" s="2" t="s">
        <x:v>20</x:v>
      </x:c>
      <x:c r="D248" s="1" t="s">
        <x:v>20</x:v>
      </x:c>
      <x:c r="E248" s="1" t="s">
        <x:v>20</x:v>
      </x:c>
      <x:c r="F248" s="1" t="s">
        <x:v>150</x:v>
      </x:c>
      <x:c r="G248" s="1" t="s">
        <x:v>20</x:v>
      </x:c>
      <x:c r="H248" s="1" t="s">
        <x:v>151</x:v>
      </x:c>
      <x:c r="I248" s="1" t="s">
        <x:v>20</x:v>
      </x:c>
      <x:c r="J248" s="1" t="s">
        <x:v>20</x:v>
      </x:c>
      <x:c r="K248" s="1" t="s">
        <x:v>20</x:v>
      </x:c>
      <x:c r="L248" s="1" t="s">
        <x:v>20</x:v>
      </x:c>
      <x:c r="M248" s="1" t="s">
        <x:v>20</x:v>
      </x:c>
      <x:c r="N248" s="1" t="s">
        <x:v>20</x:v>
      </x:c>
      <x:c r="O248" s="1" t="s">
        <x:v>20</x:v>
      </x:c>
      <x:c r="P248" s="1" t="s">
        <x:v>20</x:v>
      </x:c>
      <x:c r="Q248" s="1" t="s">
        <x:v>20</x:v>
      </x:c>
    </x:row>
    <x:row r="249" spans="1:17">
      <x:c r="A249" s="1" t="s">
        <x:v>152</x:v>
      </x:c>
      <x:c r="B249" s="2" t="s">
        <x:v>18</x:v>
      </x:c>
      <x:c r="C249" s="2">
        <x:f>HYPERLINK("https://team-oisq.testit.software/projects/1/tests/43", "Проверка авторизации с email, введённым с caps lock и  паролем, введённым без цифр")</x:f>
      </x:c>
      <x:c r="D249" s="1" t="s">
        <x:v>19</x:v>
      </x:c>
      <x:c r="E249" s="1" t="s">
        <x:v>20</x:v>
      </x:c>
      <x:c r="F249" s="1" t="s">
        <x:v>20</x:v>
      </x:c>
      <x:c r="G249" s="1" t="s">
        <x:v>20</x:v>
      </x:c>
      <x:c r="H249" s="1" t="s">
        <x:v>20</x:v>
      </x:c>
      <x:c r="I249" s="1" t="s">
        <x:v>20</x:v>
      </x:c>
      <x:c r="J249" s="1" t="s">
        <x:v>20</x:v>
      </x:c>
      <x:c r="K249" s="1" t="s">
        <x:v>20</x:v>
      </x:c>
      <x:c r="L249" s="1" t="s">
        <x:v>21</x:v>
      </x:c>
      <x:c r="M249" s="1" t="s">
        <x:v>22</x:v>
      </x:c>
      <x:c r="N249" s="1" t="s">
        <x:v>153</x:v>
      </x:c>
      <x:c r="O249" s="1" t="s">
        <x:v>24</x:v>
      </x:c>
      <x:c r="P249" s="1" t="s">
        <x:v>25</x:v>
      </x:c>
      <x:c r="Q249" s="1" t="s">
        <x:v>26</x:v>
      </x:c>
    </x:row>
    <x:row r="250" spans="1:17">
      <x:c r="A250" s="1" t="s">
        <x:v>20</x:v>
      </x:c>
      <x:c r="B250" s="2" t="s">
        <x:v>20</x:v>
      </x:c>
      <x:c r="C250" s="2" t="s">
        <x:v>20</x:v>
      </x:c>
      <x:c r="D250" s="1" t="s">
        <x:v>20</x:v>
      </x:c>
      <x:c r="E250" s="1" t="s">
        <x:v>27</x:v>
      </x:c>
      <x:c r="F250" s="1" t="s">
        <x:v>20</x:v>
      </x:c>
      <x:c r="G250" s="1" t="s">
        <x:v>20</x:v>
      </x:c>
      <x:c r="H250" s="1" t="s">
        <x:v>20</x:v>
      </x:c>
      <x:c r="I250" s="1" t="s">
        <x:v>20</x:v>
      </x:c>
      <x:c r="J250" s="1" t="s">
        <x:v>20</x:v>
      </x:c>
      <x:c r="K250" s="1" t="s">
        <x:v>20</x:v>
      </x:c>
      <x:c r="L250" s="1" t="s">
        <x:v>20</x:v>
      </x:c>
      <x:c r="M250" s="1" t="s">
        <x:v>20</x:v>
      </x:c>
      <x:c r="N250" s="1" t="s">
        <x:v>20</x:v>
      </x:c>
      <x:c r="O250" s="1" t="s">
        <x:v>20</x:v>
      </x:c>
      <x:c r="P250" s="1" t="s">
        <x:v>20</x:v>
      </x:c>
      <x:c r="Q250" s="1" t="s">
        <x:v>20</x:v>
      </x:c>
    </x:row>
    <x:row r="251" spans="1:17">
      <x:c r="A251" s="1" t="s">
        <x:v>20</x:v>
      </x:c>
      <x:c r="B251" s="2" t="s">
        <x:v>20</x:v>
      </x:c>
      <x:c r="C251" s="2" t="s">
        <x:v>20</x:v>
      </x:c>
      <x:c r="D251" s="1" t="s">
        <x:v>20</x:v>
      </x:c>
      <x:c r="E251" s="1" t="s">
        <x:v>28</x:v>
      </x:c>
      <x:c r="F251" s="1" t="s">
        <x:v>20</x:v>
      </x:c>
      <x:c r="G251" s="1" t="s">
        <x:v>20</x:v>
      </x:c>
      <x:c r="H251" s="1" t="s">
        <x:v>29</x:v>
      </x:c>
      <x:c r="I251" s="1" t="s">
        <x:v>20</x:v>
      </x:c>
      <x:c r="J251" s="1" t="s">
        <x:v>20</x:v>
      </x:c>
      <x:c r="K251" s="1" t="s">
        <x:v>20</x:v>
      </x:c>
      <x:c r="L251" s="1" t="s">
        <x:v>20</x:v>
      </x:c>
      <x:c r="M251" s="1" t="s">
        <x:v>20</x:v>
      </x:c>
      <x:c r="N251" s="1" t="s">
        <x:v>20</x:v>
      </x:c>
      <x:c r="O251" s="1" t="s">
        <x:v>20</x:v>
      </x:c>
      <x:c r="P251" s="1" t="s">
        <x:v>20</x:v>
      </x:c>
      <x:c r="Q251" s="1" t="s">
        <x:v>20</x:v>
      </x:c>
    </x:row>
    <x:row r="252" spans="1:17">
      <x:c r="A252" s="1" t="s">
        <x:v>20</x:v>
      </x:c>
      <x:c r="B252" s="2" t="s">
        <x:v>20</x:v>
      </x:c>
      <x:c r="C252" s="2" t="s">
        <x:v>20</x:v>
      </x:c>
      <x:c r="D252" s="1" t="s">
        <x:v>20</x:v>
      </x:c>
      <x:c r="E252" s="1" t="s">
        <x:v>30</x:v>
      </x:c>
      <x:c r="F252" s="1" t="s">
        <x:v>20</x:v>
      </x:c>
      <x:c r="G252" s="1" t="s">
        <x:v>20</x:v>
      </x:c>
      <x:c r="H252" s="1" t="s">
        <x:v>31</x:v>
      </x:c>
      <x:c r="I252" s="1" t="s">
        <x:v>20</x:v>
      </x:c>
      <x:c r="J252" s="1" t="s">
        <x:v>20</x:v>
      </x:c>
      <x:c r="K252" s="1" t="s">
        <x:v>20</x:v>
      </x:c>
      <x:c r="L252" s="1" t="s">
        <x:v>20</x:v>
      </x:c>
      <x:c r="M252" s="1" t="s">
        <x:v>20</x:v>
      </x:c>
      <x:c r="N252" s="1" t="s">
        <x:v>20</x:v>
      </x:c>
      <x:c r="O252" s="1" t="s">
        <x:v>20</x:v>
      </x:c>
      <x:c r="P252" s="1" t="s">
        <x:v>20</x:v>
      </x:c>
      <x:c r="Q252" s="1" t="s">
        <x:v>20</x:v>
      </x:c>
    </x:row>
    <x:row r="253" spans="1:17">
      <x:c r="A253" s="1" t="s">
        <x:v>20</x:v>
      </x:c>
      <x:c r="B253" s="2" t="s">
        <x:v>20</x:v>
      </x:c>
      <x:c r="C253" s="2" t="s">
        <x:v>20</x:v>
      </x:c>
      <x:c r="D253" s="1" t="s">
        <x:v>20</x:v>
      </x:c>
      <x:c r="E253" s="1" t="s">
        <x:v>20</x:v>
      </x:c>
      <x:c r="F253" s="1" t="s">
        <x:v>141</x:v>
      </x:c>
      <x:c r="G253" s="1" t="s">
        <x:v>20</x:v>
      </x:c>
      <x:c r="H253" s="1" t="s">
        <x:v>105</x:v>
      </x:c>
      <x:c r="I253" s="1" t="s">
        <x:v>20</x:v>
      </x:c>
      <x:c r="J253" s="1" t="s">
        <x:v>20</x:v>
      </x:c>
      <x:c r="K253" s="1" t="s">
        <x:v>20</x:v>
      </x:c>
      <x:c r="L253" s="1" t="s">
        <x:v>20</x:v>
      </x:c>
      <x:c r="M253" s="1" t="s">
        <x:v>20</x:v>
      </x:c>
      <x:c r="N253" s="1" t="s">
        <x:v>20</x:v>
      </x:c>
      <x:c r="O253" s="1" t="s">
        <x:v>20</x:v>
      </x:c>
      <x:c r="P253" s="1" t="s">
        <x:v>20</x:v>
      </x:c>
      <x:c r="Q253" s="1" t="s">
        <x:v>20</x:v>
      </x:c>
    </x:row>
    <x:row r="254" spans="1:17">
      <x:c r="A254" s="1" t="s">
        <x:v>20</x:v>
      </x:c>
      <x:c r="B254" s="2" t="s">
        <x:v>20</x:v>
      </x:c>
      <x:c r="C254" s="2" t="s">
        <x:v>20</x:v>
      </x:c>
      <x:c r="D254" s="1" t="s">
        <x:v>20</x:v>
      </x:c>
      <x:c r="E254" s="1" t="s">
        <x:v>20</x:v>
      </x:c>
      <x:c r="F254" s="1" t="s">
        <x:v>86</x:v>
      </x:c>
      <x:c r="G254" s="1" t="s">
        <x:v>20</x:v>
      </x:c>
      <x:c r="H254" s="1" t="s">
        <x:v>142</x:v>
      </x:c>
      <x:c r="I254" s="1" t="s">
        <x:v>20</x:v>
      </x:c>
      <x:c r="J254" s="1" t="s">
        <x:v>20</x:v>
      </x:c>
      <x:c r="K254" s="1" t="s">
        <x:v>20</x:v>
      </x:c>
      <x:c r="L254" s="1" t="s">
        <x:v>20</x:v>
      </x:c>
      <x:c r="M254" s="1" t="s">
        <x:v>20</x:v>
      </x:c>
      <x:c r="N254" s="1" t="s">
        <x:v>20</x:v>
      </x:c>
      <x:c r="O254" s="1" t="s">
        <x:v>20</x:v>
      </x:c>
      <x:c r="P254" s="1" t="s">
        <x:v>20</x:v>
      </x:c>
      <x:c r="Q254" s="1" t="s">
        <x:v>20</x:v>
      </x:c>
    </x:row>
    <x:row r="255" spans="1:17">
      <x:c r="A255" s="1" t="s">
        <x:v>20</x:v>
      </x:c>
      <x:c r="B255" s="2" t="s">
        <x:v>20</x:v>
      </x:c>
      <x:c r="C255" s="2" t="s">
        <x:v>20</x:v>
      </x:c>
      <x:c r="D255" s="1" t="s">
        <x:v>20</x:v>
      </x:c>
      <x:c r="E255" s="1" t="s">
        <x:v>20</x:v>
      </x:c>
      <x:c r="F255" s="1" t="s">
        <x:v>154</x:v>
      </x:c>
      <x:c r="G255" s="1" t="s">
        <x:v>20</x:v>
      </x:c>
      <x:c r="H255" s="1" t="s">
        <x:v>52</x:v>
      </x:c>
      <x:c r="I255" s="1" t="s">
        <x:v>20</x:v>
      </x:c>
      <x:c r="J255" s="1" t="s">
        <x:v>20</x:v>
      </x:c>
      <x:c r="K255" s="1" t="s">
        <x:v>20</x:v>
      </x:c>
      <x:c r="L255" s="1" t="s">
        <x:v>20</x:v>
      </x:c>
      <x:c r="M255" s="1" t="s">
        <x:v>20</x:v>
      </x:c>
      <x:c r="N255" s="1" t="s">
        <x:v>20</x:v>
      </x:c>
      <x:c r="O255" s="1" t="s">
        <x:v>20</x:v>
      </x:c>
      <x:c r="P255" s="1" t="s">
        <x:v>20</x:v>
      </x:c>
      <x:c r="Q255" s="1" t="s">
        <x:v>20</x:v>
      </x:c>
    </x:row>
    <x:row r="256" spans="1:17">
      <x:c r="A256" s="1" t="s">
        <x:v>155</x:v>
      </x:c>
      <x:c r="B256" s="2" t="s">
        <x:v>18</x:v>
      </x:c>
      <x:c r="C256" s="2">
        <x:f>HYPERLINK("https://team-oisq.testit.software/projects/1/tests/44", "Проверка авторизации с email, введённым с caps lock и  пробелом в середине пароля")</x:f>
      </x:c>
      <x:c r="D256" s="1" t="s">
        <x:v>19</x:v>
      </x:c>
      <x:c r="E256" s="1" t="s">
        <x:v>20</x:v>
      </x:c>
      <x:c r="F256" s="1" t="s">
        <x:v>20</x:v>
      </x:c>
      <x:c r="G256" s="1" t="s">
        <x:v>20</x:v>
      </x:c>
      <x:c r="H256" s="1" t="s">
        <x:v>20</x:v>
      </x:c>
      <x:c r="I256" s="1" t="s">
        <x:v>20</x:v>
      </x:c>
      <x:c r="J256" s="1" t="s">
        <x:v>20</x:v>
      </x:c>
      <x:c r="K256" s="1" t="s">
        <x:v>20</x:v>
      </x:c>
      <x:c r="L256" s="1" t="s">
        <x:v>21</x:v>
      </x:c>
      <x:c r="M256" s="1" t="s">
        <x:v>22</x:v>
      </x:c>
      <x:c r="N256" s="1" t="s">
        <x:v>156</x:v>
      </x:c>
      <x:c r="O256" s="1" t="s">
        <x:v>24</x:v>
      </x:c>
      <x:c r="P256" s="1" t="s">
        <x:v>25</x:v>
      </x:c>
      <x:c r="Q256" s="1" t="s">
        <x:v>26</x:v>
      </x:c>
    </x:row>
    <x:row r="257" spans="1:17">
      <x:c r="A257" s="1" t="s">
        <x:v>20</x:v>
      </x:c>
      <x:c r="B257" s="2" t="s">
        <x:v>20</x:v>
      </x:c>
      <x:c r="C257" s="2" t="s">
        <x:v>20</x:v>
      </x:c>
      <x:c r="D257" s="1" t="s">
        <x:v>20</x:v>
      </x:c>
      <x:c r="E257" s="1" t="s">
        <x:v>27</x:v>
      </x:c>
      <x:c r="F257" s="1" t="s">
        <x:v>20</x:v>
      </x:c>
      <x:c r="G257" s="1" t="s">
        <x:v>20</x:v>
      </x:c>
      <x:c r="H257" s="1" t="s">
        <x:v>20</x:v>
      </x:c>
      <x:c r="I257" s="1" t="s">
        <x:v>20</x:v>
      </x:c>
      <x:c r="J257" s="1" t="s">
        <x:v>20</x:v>
      </x:c>
      <x:c r="K257" s="1" t="s">
        <x:v>20</x:v>
      </x:c>
      <x:c r="L257" s="1" t="s">
        <x:v>20</x:v>
      </x:c>
      <x:c r="M257" s="1" t="s">
        <x:v>20</x:v>
      </x:c>
      <x:c r="N257" s="1" t="s">
        <x:v>20</x:v>
      </x:c>
      <x:c r="O257" s="1" t="s">
        <x:v>20</x:v>
      </x:c>
      <x:c r="P257" s="1" t="s">
        <x:v>20</x:v>
      </x:c>
      <x:c r="Q257" s="1" t="s">
        <x:v>20</x:v>
      </x:c>
    </x:row>
    <x:row r="258" spans="1:17">
      <x:c r="A258" s="1" t="s">
        <x:v>20</x:v>
      </x:c>
      <x:c r="B258" s="2" t="s">
        <x:v>20</x:v>
      </x:c>
      <x:c r="C258" s="2" t="s">
        <x:v>20</x:v>
      </x:c>
      <x:c r="D258" s="1" t="s">
        <x:v>20</x:v>
      </x:c>
      <x:c r="E258" s="1" t="s">
        <x:v>28</x:v>
      </x:c>
      <x:c r="F258" s="1" t="s">
        <x:v>20</x:v>
      </x:c>
      <x:c r="G258" s="1" t="s">
        <x:v>20</x:v>
      </x:c>
      <x:c r="H258" s="1" t="s">
        <x:v>29</x:v>
      </x:c>
      <x:c r="I258" s="1" t="s">
        <x:v>20</x:v>
      </x:c>
      <x:c r="J258" s="1" t="s">
        <x:v>20</x:v>
      </x:c>
      <x:c r="K258" s="1" t="s">
        <x:v>20</x:v>
      </x:c>
      <x:c r="L258" s="1" t="s">
        <x:v>20</x:v>
      </x:c>
      <x:c r="M258" s="1" t="s">
        <x:v>20</x:v>
      </x:c>
      <x:c r="N258" s="1" t="s">
        <x:v>20</x:v>
      </x:c>
      <x:c r="O258" s="1" t="s">
        <x:v>20</x:v>
      </x:c>
      <x:c r="P258" s="1" t="s">
        <x:v>20</x:v>
      </x:c>
      <x:c r="Q258" s="1" t="s">
        <x:v>20</x:v>
      </x:c>
    </x:row>
    <x:row r="259" spans="1:17">
      <x:c r="A259" s="1" t="s">
        <x:v>20</x:v>
      </x:c>
      <x:c r="B259" s="2" t="s">
        <x:v>20</x:v>
      </x:c>
      <x:c r="C259" s="2" t="s">
        <x:v>20</x:v>
      </x:c>
      <x:c r="D259" s="1" t="s">
        <x:v>20</x:v>
      </x:c>
      <x:c r="E259" s="1" t="s">
        <x:v>30</x:v>
      </x:c>
      <x:c r="F259" s="1" t="s">
        <x:v>20</x:v>
      </x:c>
      <x:c r="G259" s="1" t="s">
        <x:v>20</x:v>
      </x:c>
      <x:c r="H259" s="1" t="s">
        <x:v>31</x:v>
      </x:c>
      <x:c r="I259" s="1" t="s">
        <x:v>20</x:v>
      </x:c>
      <x:c r="J259" s="1" t="s">
        <x:v>20</x:v>
      </x:c>
      <x:c r="K259" s="1" t="s">
        <x:v>20</x:v>
      </x:c>
      <x:c r="L259" s="1" t="s">
        <x:v>20</x:v>
      </x:c>
      <x:c r="M259" s="1" t="s">
        <x:v>20</x:v>
      </x:c>
      <x:c r="N259" s="1" t="s">
        <x:v>20</x:v>
      </x:c>
      <x:c r="O259" s="1" t="s">
        <x:v>20</x:v>
      </x:c>
      <x:c r="P259" s="1" t="s">
        <x:v>20</x:v>
      </x:c>
      <x:c r="Q259" s="1" t="s">
        <x:v>20</x:v>
      </x:c>
    </x:row>
    <x:row r="260" spans="1:17">
      <x:c r="A260" s="1" t="s">
        <x:v>20</x:v>
      </x:c>
      <x:c r="B260" s="2" t="s">
        <x:v>20</x:v>
      </x:c>
      <x:c r="C260" s="2" t="s">
        <x:v>20</x:v>
      </x:c>
      <x:c r="D260" s="1" t="s">
        <x:v>20</x:v>
      </x:c>
      <x:c r="E260" s="1" t="s">
        <x:v>20</x:v>
      </x:c>
      <x:c r="F260" s="1" t="s">
        <x:v>141</x:v>
      </x:c>
      <x:c r="G260" s="1" t="s">
        <x:v>20</x:v>
      </x:c>
      <x:c r="H260" s="1" t="s">
        <x:v>105</x:v>
      </x:c>
      <x:c r="I260" s="1" t="s">
        <x:v>20</x:v>
      </x:c>
      <x:c r="J260" s="1" t="s">
        <x:v>20</x:v>
      </x:c>
      <x:c r="K260" s="1" t="s">
        <x:v>20</x:v>
      </x:c>
      <x:c r="L260" s="1" t="s">
        <x:v>20</x:v>
      </x:c>
      <x:c r="M260" s="1" t="s">
        <x:v>20</x:v>
      </x:c>
      <x:c r="N260" s="1" t="s">
        <x:v>20</x:v>
      </x:c>
      <x:c r="O260" s="1" t="s">
        <x:v>20</x:v>
      </x:c>
      <x:c r="P260" s="1" t="s">
        <x:v>20</x:v>
      </x:c>
      <x:c r="Q260" s="1" t="s">
        <x:v>20</x:v>
      </x:c>
    </x:row>
    <x:row r="261" spans="1:17">
      <x:c r="A261" s="1" t="s">
        <x:v>20</x:v>
      </x:c>
      <x:c r="B261" s="2" t="s">
        <x:v>20</x:v>
      </x:c>
      <x:c r="C261" s="2" t="s">
        <x:v>20</x:v>
      </x:c>
      <x:c r="D261" s="1" t="s">
        <x:v>20</x:v>
      </x:c>
      <x:c r="E261" s="1" t="s">
        <x:v>20</x:v>
      </x:c>
      <x:c r="F261" s="1" t="s">
        <x:v>86</x:v>
      </x:c>
      <x:c r="G261" s="1" t="s">
        <x:v>20</x:v>
      </x:c>
      <x:c r="H261" s="1" t="s">
        <x:v>142</x:v>
      </x:c>
      <x:c r="I261" s="1" t="s">
        <x:v>20</x:v>
      </x:c>
      <x:c r="J261" s="1" t="s">
        <x:v>20</x:v>
      </x:c>
      <x:c r="K261" s="1" t="s">
        <x:v>20</x:v>
      </x:c>
      <x:c r="L261" s="1" t="s">
        <x:v>20</x:v>
      </x:c>
      <x:c r="M261" s="1" t="s">
        <x:v>20</x:v>
      </x:c>
      <x:c r="N261" s="1" t="s">
        <x:v>20</x:v>
      </x:c>
      <x:c r="O261" s="1" t="s">
        <x:v>20</x:v>
      </x:c>
      <x:c r="P261" s="1" t="s">
        <x:v>20</x:v>
      </x:c>
      <x:c r="Q261" s="1" t="s">
        <x:v>20</x:v>
      </x:c>
    </x:row>
    <x:row r="262" spans="1:17">
      <x:c r="A262" s="1" t="s">
        <x:v>20</x:v>
      </x:c>
      <x:c r="B262" s="2" t="s">
        <x:v>20</x:v>
      </x:c>
      <x:c r="C262" s="2" t="s">
        <x:v>20</x:v>
      </x:c>
      <x:c r="D262" s="1" t="s">
        <x:v>20</x:v>
      </x:c>
      <x:c r="E262" s="1" t="s">
        <x:v>20</x:v>
      </x:c>
      <x:c r="F262" s="1" t="s">
        <x:v>157</x:v>
      </x:c>
      <x:c r="G262" s="1" t="s">
        <x:v>20</x:v>
      </x:c>
      <x:c r="H262" s="1" t="s">
        <x:v>52</x:v>
      </x:c>
      <x:c r="I262" s="1" t="s">
        <x:v>20</x:v>
      </x:c>
      <x:c r="J262" s="1" t="s">
        <x:v>20</x:v>
      </x:c>
      <x:c r="K262" s="1" t="s">
        <x:v>20</x:v>
      </x:c>
      <x:c r="L262" s="1" t="s">
        <x:v>20</x:v>
      </x:c>
      <x:c r="M262" s="1" t="s">
        <x:v>20</x:v>
      </x:c>
      <x:c r="N262" s="1" t="s">
        <x:v>20</x:v>
      </x:c>
      <x:c r="O262" s="1" t="s">
        <x:v>20</x:v>
      </x:c>
      <x:c r="P262" s="1" t="s">
        <x:v>20</x:v>
      </x:c>
      <x:c r="Q262" s="1" t="s">
        <x:v>20</x:v>
      </x:c>
    </x:row>
    <x:row r="263" spans="1:17">
      <x:c r="A263" s="1" t="s">
        <x:v>158</x:v>
      </x:c>
      <x:c r="B263" s="2" t="s">
        <x:v>18</x:v>
      </x:c>
      <x:c r="C263" s="2">
        <x:f>HYPERLINK("https://team-oisq.testit.software/projects/1/tests/45", "Проверка авторизации с email, введённым с caps lock и  паролем, введённым с caps lock")</x:f>
      </x:c>
      <x:c r="D263" s="1" t="s">
        <x:v>19</x:v>
      </x:c>
      <x:c r="E263" s="1" t="s">
        <x:v>20</x:v>
      </x:c>
      <x:c r="F263" s="1" t="s">
        <x:v>20</x:v>
      </x:c>
      <x:c r="G263" s="1" t="s">
        <x:v>20</x:v>
      </x:c>
      <x:c r="H263" s="1" t="s">
        <x:v>20</x:v>
      </x:c>
      <x:c r="I263" s="1" t="s">
        <x:v>20</x:v>
      </x:c>
      <x:c r="J263" s="1" t="s">
        <x:v>20</x:v>
      </x:c>
      <x:c r="K263" s="1" t="s">
        <x:v>20</x:v>
      </x:c>
      <x:c r="L263" s="1" t="s">
        <x:v>21</x:v>
      </x:c>
      <x:c r="M263" s="1" t="s">
        <x:v>22</x:v>
      </x:c>
      <x:c r="N263" s="1" t="s">
        <x:v>159</x:v>
      </x:c>
      <x:c r="O263" s="1" t="s">
        <x:v>24</x:v>
      </x:c>
      <x:c r="P263" s="1" t="s">
        <x:v>25</x:v>
      </x:c>
      <x:c r="Q263" s="1" t="s">
        <x:v>26</x:v>
      </x:c>
    </x:row>
    <x:row r="264" spans="1:17">
      <x:c r="A264" s="1" t="s">
        <x:v>20</x:v>
      </x:c>
      <x:c r="B264" s="2" t="s">
        <x:v>20</x:v>
      </x:c>
      <x:c r="C264" s="2" t="s">
        <x:v>20</x:v>
      </x:c>
      <x:c r="D264" s="1" t="s">
        <x:v>20</x:v>
      </x:c>
      <x:c r="E264" s="1" t="s">
        <x:v>27</x:v>
      </x:c>
      <x:c r="F264" s="1" t="s">
        <x:v>20</x:v>
      </x:c>
      <x:c r="G264" s="1" t="s">
        <x:v>20</x:v>
      </x:c>
      <x:c r="H264" s="1" t="s">
        <x:v>20</x:v>
      </x:c>
      <x:c r="I264" s="1" t="s">
        <x:v>20</x:v>
      </x:c>
      <x:c r="J264" s="1" t="s">
        <x:v>20</x:v>
      </x:c>
      <x:c r="K264" s="1" t="s">
        <x:v>20</x:v>
      </x:c>
      <x:c r="L264" s="1" t="s">
        <x:v>20</x:v>
      </x:c>
      <x:c r="M264" s="1" t="s">
        <x:v>20</x:v>
      </x:c>
      <x:c r="N264" s="1" t="s">
        <x:v>20</x:v>
      </x:c>
      <x:c r="O264" s="1" t="s">
        <x:v>20</x:v>
      </x:c>
      <x:c r="P264" s="1" t="s">
        <x:v>20</x:v>
      </x:c>
      <x:c r="Q264" s="1" t="s">
        <x:v>20</x:v>
      </x:c>
    </x:row>
    <x:row r="265" spans="1:17">
      <x:c r="A265" s="1" t="s">
        <x:v>20</x:v>
      </x:c>
      <x:c r="B265" s="2" t="s">
        <x:v>20</x:v>
      </x:c>
      <x:c r="C265" s="2" t="s">
        <x:v>20</x:v>
      </x:c>
      <x:c r="D265" s="1" t="s">
        <x:v>20</x:v>
      </x:c>
      <x:c r="E265" s="1" t="s">
        <x:v>28</x:v>
      </x:c>
      <x:c r="F265" s="1" t="s">
        <x:v>20</x:v>
      </x:c>
      <x:c r="G265" s="1" t="s">
        <x:v>20</x:v>
      </x:c>
      <x:c r="H265" s="1" t="s">
        <x:v>29</x:v>
      </x:c>
      <x:c r="I265" s="1" t="s">
        <x:v>20</x:v>
      </x:c>
      <x:c r="J265" s="1" t="s">
        <x:v>20</x:v>
      </x:c>
      <x:c r="K265" s="1" t="s">
        <x:v>20</x:v>
      </x:c>
      <x:c r="L265" s="1" t="s">
        <x:v>20</x:v>
      </x:c>
      <x:c r="M265" s="1" t="s">
        <x:v>20</x:v>
      </x:c>
      <x:c r="N265" s="1" t="s">
        <x:v>20</x:v>
      </x:c>
      <x:c r="O265" s="1" t="s">
        <x:v>20</x:v>
      </x:c>
      <x:c r="P265" s="1" t="s">
        <x:v>20</x:v>
      </x:c>
      <x:c r="Q265" s="1" t="s">
        <x:v>20</x:v>
      </x:c>
    </x:row>
    <x:row r="266" spans="1:17">
      <x:c r="A266" s="1" t="s">
        <x:v>20</x:v>
      </x:c>
      <x:c r="B266" s="2" t="s">
        <x:v>20</x:v>
      </x:c>
      <x:c r="C266" s="2" t="s">
        <x:v>20</x:v>
      </x:c>
      <x:c r="D266" s="1" t="s">
        <x:v>20</x:v>
      </x:c>
      <x:c r="E266" s="1" t="s">
        <x:v>30</x:v>
      </x:c>
      <x:c r="F266" s="1" t="s">
        <x:v>20</x:v>
      </x:c>
      <x:c r="G266" s="1" t="s">
        <x:v>20</x:v>
      </x:c>
      <x:c r="H266" s="1" t="s">
        <x:v>31</x:v>
      </x:c>
      <x:c r="I266" s="1" t="s">
        <x:v>20</x:v>
      </x:c>
      <x:c r="J266" s="1" t="s">
        <x:v>20</x:v>
      </x:c>
      <x:c r="K266" s="1" t="s">
        <x:v>20</x:v>
      </x:c>
      <x:c r="L266" s="1" t="s">
        <x:v>20</x:v>
      </x:c>
      <x:c r="M266" s="1" t="s">
        <x:v>20</x:v>
      </x:c>
      <x:c r="N266" s="1" t="s">
        <x:v>20</x:v>
      </x:c>
      <x:c r="O266" s="1" t="s">
        <x:v>20</x:v>
      </x:c>
      <x:c r="P266" s="1" t="s">
        <x:v>20</x:v>
      </x:c>
      <x:c r="Q266" s="1" t="s">
        <x:v>20</x:v>
      </x:c>
    </x:row>
    <x:row r="267" spans="1:17">
      <x:c r="A267" s="1" t="s">
        <x:v>20</x:v>
      </x:c>
      <x:c r="B267" s="2" t="s">
        <x:v>20</x:v>
      </x:c>
      <x:c r="C267" s="2" t="s">
        <x:v>20</x:v>
      </x:c>
      <x:c r="D267" s="1" t="s">
        <x:v>20</x:v>
      </x:c>
      <x:c r="E267" s="1" t="s">
        <x:v>20</x:v>
      </x:c>
      <x:c r="F267" s="1" t="s">
        <x:v>141</x:v>
      </x:c>
      <x:c r="G267" s="1" t="s">
        <x:v>20</x:v>
      </x:c>
      <x:c r="H267" s="1" t="s">
        <x:v>105</x:v>
      </x:c>
      <x:c r="I267" s="1" t="s">
        <x:v>20</x:v>
      </x:c>
      <x:c r="J267" s="1" t="s">
        <x:v>20</x:v>
      </x:c>
      <x:c r="K267" s="1" t="s">
        <x:v>20</x:v>
      </x:c>
      <x:c r="L267" s="1" t="s">
        <x:v>20</x:v>
      </x:c>
      <x:c r="M267" s="1" t="s">
        <x:v>20</x:v>
      </x:c>
      <x:c r="N267" s="1" t="s">
        <x:v>20</x:v>
      </x:c>
      <x:c r="O267" s="1" t="s">
        <x:v>20</x:v>
      </x:c>
      <x:c r="P267" s="1" t="s">
        <x:v>20</x:v>
      </x:c>
      <x:c r="Q267" s="1" t="s">
        <x:v>20</x:v>
      </x:c>
    </x:row>
    <x:row r="268" spans="1:17">
      <x:c r="A268" s="1" t="s">
        <x:v>20</x:v>
      </x:c>
      <x:c r="B268" s="2" t="s">
        <x:v>20</x:v>
      </x:c>
      <x:c r="C268" s="2" t="s">
        <x:v>20</x:v>
      </x:c>
      <x:c r="D268" s="1" t="s">
        <x:v>20</x:v>
      </x:c>
      <x:c r="E268" s="1" t="s">
        <x:v>20</x:v>
      </x:c>
      <x:c r="F268" s="1" t="s">
        <x:v>86</x:v>
      </x:c>
      <x:c r="G268" s="1" t="s">
        <x:v>20</x:v>
      </x:c>
      <x:c r="H268" s="1" t="s">
        <x:v>142</x:v>
      </x:c>
      <x:c r="I268" s="1" t="s">
        <x:v>20</x:v>
      </x:c>
      <x:c r="J268" s="1" t="s">
        <x:v>20</x:v>
      </x:c>
      <x:c r="K268" s="1" t="s">
        <x:v>20</x:v>
      </x:c>
      <x:c r="L268" s="1" t="s">
        <x:v>20</x:v>
      </x:c>
      <x:c r="M268" s="1" t="s">
        <x:v>20</x:v>
      </x:c>
      <x:c r="N268" s="1" t="s">
        <x:v>20</x:v>
      </x:c>
      <x:c r="O268" s="1" t="s">
        <x:v>20</x:v>
      </x:c>
      <x:c r="P268" s="1" t="s">
        <x:v>20</x:v>
      </x:c>
      <x:c r="Q268" s="1" t="s">
        <x:v>20</x:v>
      </x:c>
    </x:row>
    <x:row r="269" spans="1:17">
      <x:c r="A269" s="1" t="s">
        <x:v>20</x:v>
      </x:c>
      <x:c r="B269" s="2" t="s">
        <x:v>20</x:v>
      </x:c>
      <x:c r="C269" s="2" t="s">
        <x:v>20</x:v>
      </x:c>
      <x:c r="D269" s="1" t="s">
        <x:v>20</x:v>
      </x:c>
      <x:c r="E269" s="1" t="s">
        <x:v>20</x:v>
      </x:c>
      <x:c r="F269" s="1" t="s">
        <x:v>160</x:v>
      </x:c>
      <x:c r="G269" s="1" t="s">
        <x:v>20</x:v>
      </x:c>
      <x:c r="H269" s="1" t="s">
        <x:v>52</x:v>
      </x:c>
      <x:c r="I269" s="1" t="s">
        <x:v>20</x:v>
      </x:c>
      <x:c r="J269" s="1" t="s">
        <x:v>20</x:v>
      </x:c>
      <x:c r="K269" s="1" t="s">
        <x:v>20</x:v>
      </x:c>
      <x:c r="L269" s="1" t="s">
        <x:v>20</x:v>
      </x:c>
      <x:c r="M269" s="1" t="s">
        <x:v>20</x:v>
      </x:c>
      <x:c r="N269" s="1" t="s">
        <x:v>20</x:v>
      </x:c>
      <x:c r="O269" s="1" t="s">
        <x:v>20</x:v>
      </x:c>
      <x:c r="P269" s="1" t="s">
        <x:v>20</x:v>
      </x:c>
      <x:c r="Q269" s="1" t="s">
        <x:v>20</x:v>
      </x:c>
    </x:row>
    <x:row r="270" spans="1:17">
      <x:c r="A270" s="1" t="s">
        <x:v>161</x:v>
      </x:c>
      <x:c r="B270" s="2" t="s">
        <x:v>18</x:v>
      </x:c>
      <x:c r="C270" s="2">
        <x:f>HYPERLINK("https://team-oisq.testit.software/projects/1/tests/46", "Проверка авторизации с email, введённым с caps lock и  паролем, введённым кириллицей")</x:f>
      </x:c>
      <x:c r="D270" s="1" t="s">
        <x:v>19</x:v>
      </x:c>
      <x:c r="E270" s="1" t="s">
        <x:v>20</x:v>
      </x:c>
      <x:c r="F270" s="1" t="s">
        <x:v>20</x:v>
      </x:c>
      <x:c r="G270" s="1" t="s">
        <x:v>20</x:v>
      </x:c>
      <x:c r="H270" s="1" t="s">
        <x:v>20</x:v>
      </x:c>
      <x:c r="I270" s="1" t="s">
        <x:v>20</x:v>
      </x:c>
      <x:c r="J270" s="1" t="s">
        <x:v>20</x:v>
      </x:c>
      <x:c r="K270" s="1" t="s">
        <x:v>20</x:v>
      </x:c>
      <x:c r="L270" s="1" t="s">
        <x:v>21</x:v>
      </x:c>
      <x:c r="M270" s="1" t="s">
        <x:v>22</x:v>
      </x:c>
      <x:c r="N270" s="1" t="s">
        <x:v>162</x:v>
      </x:c>
      <x:c r="O270" s="1" t="s">
        <x:v>24</x:v>
      </x:c>
      <x:c r="P270" s="1" t="s">
        <x:v>25</x:v>
      </x:c>
      <x:c r="Q270" s="1" t="s">
        <x:v>163</x:v>
      </x:c>
    </x:row>
    <x:row r="271" spans="1:17">
      <x:c r="A271" s="1" t="s">
        <x:v>20</x:v>
      </x:c>
      <x:c r="B271" s="2" t="s">
        <x:v>20</x:v>
      </x:c>
      <x:c r="C271" s="2" t="s">
        <x:v>20</x:v>
      </x:c>
      <x:c r="D271" s="1" t="s">
        <x:v>20</x:v>
      </x:c>
      <x:c r="E271" s="1" t="s">
        <x:v>27</x:v>
      </x:c>
      <x:c r="F271" s="1" t="s">
        <x:v>20</x:v>
      </x:c>
      <x:c r="G271" s="1" t="s">
        <x:v>20</x:v>
      </x:c>
      <x:c r="H271" s="1" t="s">
        <x:v>20</x:v>
      </x:c>
      <x:c r="I271" s="1" t="s">
        <x:v>20</x:v>
      </x:c>
      <x:c r="J271" s="1" t="s">
        <x:v>20</x:v>
      </x:c>
      <x:c r="K271" s="1" t="s">
        <x:v>20</x:v>
      </x:c>
      <x:c r="L271" s="1" t="s">
        <x:v>20</x:v>
      </x:c>
      <x:c r="M271" s="1" t="s">
        <x:v>20</x:v>
      </x:c>
      <x:c r="N271" s="1" t="s">
        <x:v>20</x:v>
      </x:c>
      <x:c r="O271" s="1" t="s">
        <x:v>20</x:v>
      </x:c>
      <x:c r="P271" s="1" t="s">
        <x:v>20</x:v>
      </x:c>
      <x:c r="Q271" s="1" t="s">
        <x:v>20</x:v>
      </x:c>
    </x:row>
    <x:row r="272" spans="1:17">
      <x:c r="A272" s="1" t="s">
        <x:v>20</x:v>
      </x:c>
      <x:c r="B272" s="2" t="s">
        <x:v>20</x:v>
      </x:c>
      <x:c r="C272" s="2" t="s">
        <x:v>20</x:v>
      </x:c>
      <x:c r="D272" s="1" t="s">
        <x:v>20</x:v>
      </x:c>
      <x:c r="E272" s="1" t="s">
        <x:v>28</x:v>
      </x:c>
      <x:c r="F272" s="1" t="s">
        <x:v>20</x:v>
      </x:c>
      <x:c r="G272" s="1" t="s">
        <x:v>20</x:v>
      </x:c>
      <x:c r="H272" s="1" t="s">
        <x:v>29</x:v>
      </x:c>
      <x:c r="I272" s="1" t="s">
        <x:v>20</x:v>
      </x:c>
      <x:c r="J272" s="1" t="s">
        <x:v>20</x:v>
      </x:c>
      <x:c r="K272" s="1" t="s">
        <x:v>20</x:v>
      </x:c>
      <x:c r="L272" s="1" t="s">
        <x:v>20</x:v>
      </x:c>
      <x:c r="M272" s="1" t="s">
        <x:v>20</x:v>
      </x:c>
      <x:c r="N272" s="1" t="s">
        <x:v>20</x:v>
      </x:c>
      <x:c r="O272" s="1" t="s">
        <x:v>20</x:v>
      </x:c>
      <x:c r="P272" s="1" t="s">
        <x:v>20</x:v>
      </x:c>
      <x:c r="Q272" s="1" t="s">
        <x:v>20</x:v>
      </x:c>
    </x:row>
    <x:row r="273" spans="1:17">
      <x:c r="A273" s="1" t="s">
        <x:v>20</x:v>
      </x:c>
      <x:c r="B273" s="2" t="s">
        <x:v>20</x:v>
      </x:c>
      <x:c r="C273" s="2" t="s">
        <x:v>20</x:v>
      </x:c>
      <x:c r="D273" s="1" t="s">
        <x:v>20</x:v>
      </x:c>
      <x:c r="E273" s="1" t="s">
        <x:v>30</x:v>
      </x:c>
      <x:c r="F273" s="1" t="s">
        <x:v>20</x:v>
      </x:c>
      <x:c r="G273" s="1" t="s">
        <x:v>20</x:v>
      </x:c>
      <x:c r="H273" s="1" t="s">
        <x:v>31</x:v>
      </x:c>
      <x:c r="I273" s="1" t="s">
        <x:v>20</x:v>
      </x:c>
      <x:c r="J273" s="1" t="s">
        <x:v>20</x:v>
      </x:c>
      <x:c r="K273" s="1" t="s">
        <x:v>20</x:v>
      </x:c>
      <x:c r="L273" s="1" t="s">
        <x:v>20</x:v>
      </x:c>
      <x:c r="M273" s="1" t="s">
        <x:v>20</x:v>
      </x:c>
      <x:c r="N273" s="1" t="s">
        <x:v>20</x:v>
      </x:c>
      <x:c r="O273" s="1" t="s">
        <x:v>20</x:v>
      </x:c>
      <x:c r="P273" s="1" t="s">
        <x:v>20</x:v>
      </x:c>
      <x:c r="Q273" s="1" t="s">
        <x:v>20</x:v>
      </x:c>
    </x:row>
    <x:row r="274" spans="1:17">
      <x:c r="A274" s="1" t="s">
        <x:v>20</x:v>
      </x:c>
      <x:c r="B274" s="2" t="s">
        <x:v>20</x:v>
      </x:c>
      <x:c r="C274" s="2" t="s">
        <x:v>20</x:v>
      </x:c>
      <x:c r="D274" s="1" t="s">
        <x:v>20</x:v>
      </x:c>
      <x:c r="E274" s="1" t="s">
        <x:v>20</x:v>
      </x:c>
      <x:c r="F274" s="1" t="s">
        <x:v>141</x:v>
      </x:c>
      <x:c r="G274" s="1" t="s">
        <x:v>20</x:v>
      </x:c>
      <x:c r="H274" s="1" t="s">
        <x:v>105</x:v>
      </x:c>
      <x:c r="I274" s="1" t="s">
        <x:v>20</x:v>
      </x:c>
      <x:c r="J274" s="1" t="s">
        <x:v>20</x:v>
      </x:c>
      <x:c r="K274" s="1" t="s">
        <x:v>20</x:v>
      </x:c>
      <x:c r="L274" s="1" t="s">
        <x:v>20</x:v>
      </x:c>
      <x:c r="M274" s="1" t="s">
        <x:v>20</x:v>
      </x:c>
      <x:c r="N274" s="1" t="s">
        <x:v>20</x:v>
      </x:c>
      <x:c r="O274" s="1" t="s">
        <x:v>20</x:v>
      </x:c>
      <x:c r="P274" s="1" t="s">
        <x:v>20</x:v>
      </x:c>
      <x:c r="Q274" s="1" t="s">
        <x:v>20</x:v>
      </x:c>
    </x:row>
    <x:row r="275" spans="1:17">
      <x:c r="A275" s="1" t="s">
        <x:v>20</x:v>
      </x:c>
      <x:c r="B275" s="2" t="s">
        <x:v>20</x:v>
      </x:c>
      <x:c r="C275" s="2" t="s">
        <x:v>20</x:v>
      </x:c>
      <x:c r="D275" s="1" t="s">
        <x:v>20</x:v>
      </x:c>
      <x:c r="E275" s="1" t="s">
        <x:v>20</x:v>
      </x:c>
      <x:c r="F275" s="1" t="s">
        <x:v>86</x:v>
      </x:c>
      <x:c r="G275" s="1" t="s">
        <x:v>20</x:v>
      </x:c>
      <x:c r="H275" s="1" t="s">
        <x:v>142</x:v>
      </x:c>
      <x:c r="I275" s="1" t="s">
        <x:v>20</x:v>
      </x:c>
      <x:c r="J275" s="1" t="s">
        <x:v>20</x:v>
      </x:c>
      <x:c r="K275" s="1" t="s">
        <x:v>20</x:v>
      </x:c>
      <x:c r="L275" s="1" t="s">
        <x:v>20</x:v>
      </x:c>
      <x:c r="M275" s="1" t="s">
        <x:v>20</x:v>
      </x:c>
      <x:c r="N275" s="1" t="s">
        <x:v>20</x:v>
      </x:c>
      <x:c r="O275" s="1" t="s">
        <x:v>20</x:v>
      </x:c>
      <x:c r="P275" s="1" t="s">
        <x:v>20</x:v>
      </x:c>
      <x:c r="Q275" s="1" t="s">
        <x:v>20</x:v>
      </x:c>
    </x:row>
    <x:row r="276" spans="1:17">
      <x:c r="A276" s="1" t="s">
        <x:v>20</x:v>
      </x:c>
      <x:c r="B276" s="2" t="s">
        <x:v>20</x:v>
      </x:c>
      <x:c r="C276" s="2" t="s">
        <x:v>20</x:v>
      </x:c>
      <x:c r="D276" s="1" t="s">
        <x:v>20</x:v>
      </x:c>
      <x:c r="E276" s="1" t="s">
        <x:v>20</x:v>
      </x:c>
      <x:c r="F276" s="1" t="s">
        <x:v>164</x:v>
      </x:c>
      <x:c r="G276" s="1" t="s">
        <x:v>20</x:v>
      </x:c>
      <x:c r="H276" s="1" t="s">
        <x:v>63</x:v>
      </x:c>
      <x:c r="I276" s="1" t="s">
        <x:v>20</x:v>
      </x:c>
      <x:c r="J276" s="1" t="s">
        <x:v>20</x:v>
      </x:c>
      <x:c r="K276" s="1" t="s">
        <x:v>20</x:v>
      </x:c>
      <x:c r="L276" s="1" t="s">
        <x:v>20</x:v>
      </x:c>
      <x:c r="M276" s="1" t="s">
        <x:v>20</x:v>
      </x:c>
      <x:c r="N276" s="1" t="s">
        <x:v>20</x:v>
      </x:c>
      <x:c r="O276" s="1" t="s">
        <x:v>20</x:v>
      </x:c>
      <x:c r="P276" s="1" t="s">
        <x:v>20</x:v>
      </x:c>
      <x:c r="Q276" s="1" t="s">
        <x:v>20</x:v>
      </x:c>
    </x:row>
    <x:row r="277" spans="1:17">
      <x:c r="A277" s="1" t="s">
        <x:v>20</x:v>
      </x:c>
      <x:c r="B277" s="2" t="s">
        <x:v>20</x:v>
      </x:c>
      <x:c r="C277" s="2" t="s">
        <x:v>20</x:v>
      </x:c>
      <x:c r="D277" s="1" t="s">
        <x:v>20</x:v>
      </x:c>
      <x:c r="E277" s="1" t="s">
        <x:v>20</x:v>
      </x:c>
      <x:c r="F277" s="1" t="s">
        <x:v>165</x:v>
      </x:c>
      <x:c r="G277" s="1" t="s">
        <x:v>20</x:v>
      </x:c>
      <x:c r="H277" s="1" t="s">
        <x:v>52</x:v>
      </x:c>
      <x:c r="I277" s="1" t="s">
        <x:v>20</x:v>
      </x:c>
      <x:c r="J277" s="1" t="s">
        <x:v>20</x:v>
      </x:c>
      <x:c r="K277" s="1" t="s">
        <x:v>20</x:v>
      </x:c>
      <x:c r="L277" s="1" t="s">
        <x:v>20</x:v>
      </x:c>
      <x:c r="M277" s="1" t="s">
        <x:v>20</x:v>
      </x:c>
      <x:c r="N277" s="1" t="s">
        <x:v>20</x:v>
      </x:c>
      <x:c r="O277" s="1" t="s">
        <x:v>20</x:v>
      </x:c>
      <x:c r="P277" s="1" t="s">
        <x:v>20</x:v>
      </x:c>
      <x:c r="Q277" s="1" t="s">
        <x:v>20</x:v>
      </x:c>
    </x:row>
    <x:row r="278" spans="1:17">
      <x:c r="A278" s="1" t="s">
        <x:v>166</x:v>
      </x:c>
      <x:c r="B278" s="2" t="s">
        <x:v>18</x:v>
      </x:c>
      <x:c r="C278" s="2">
        <x:f>HYPERLINK("https://team-oisq.testit.software/projects/1/tests/47", "Проверка авторизации с email, введённым кириллицей и валидным паролем")</x:f>
      </x:c>
      <x:c r="D278" s="1" t="s">
        <x:v>19</x:v>
      </x:c>
      <x:c r="E278" s="1" t="s">
        <x:v>20</x:v>
      </x:c>
      <x:c r="F278" s="1" t="s">
        <x:v>20</x:v>
      </x:c>
      <x:c r="G278" s="1" t="s">
        <x:v>20</x:v>
      </x:c>
      <x:c r="H278" s="1" t="s">
        <x:v>20</x:v>
      </x:c>
      <x:c r="I278" s="1" t="s">
        <x:v>20</x:v>
      </x:c>
      <x:c r="J278" s="1" t="s">
        <x:v>20</x:v>
      </x:c>
      <x:c r="K278" s="1" t="s">
        <x:v>20</x:v>
      </x:c>
      <x:c r="L278" s="1" t="s">
        <x:v>21</x:v>
      </x:c>
      <x:c r="M278" s="1" t="s">
        <x:v>22</x:v>
      </x:c>
      <x:c r="N278" s="1" t="s">
        <x:v>167</x:v>
      </x:c>
      <x:c r="O278" s="1" t="s">
        <x:v>24</x:v>
      </x:c>
      <x:c r="P278" s="1" t="s">
        <x:v>25</x:v>
      </x:c>
      <x:c r="Q278" s="1" t="s">
        <x:v>26</x:v>
      </x:c>
    </x:row>
    <x:row r="279" spans="1:17">
      <x:c r="A279" s="1" t="s">
        <x:v>20</x:v>
      </x:c>
      <x:c r="B279" s="2" t="s">
        <x:v>20</x:v>
      </x:c>
      <x:c r="C279" s="2" t="s">
        <x:v>20</x:v>
      </x:c>
      <x:c r="D279" s="1" t="s">
        <x:v>20</x:v>
      </x:c>
      <x:c r="E279" s="1" t="s">
        <x:v>27</x:v>
      </x:c>
      <x:c r="F279" s="1" t="s">
        <x:v>20</x:v>
      </x:c>
      <x:c r="G279" s="1" t="s">
        <x:v>20</x:v>
      </x:c>
      <x:c r="H279" s="1" t="s">
        <x:v>20</x:v>
      </x:c>
      <x:c r="I279" s="1" t="s">
        <x:v>20</x:v>
      </x:c>
      <x:c r="J279" s="1" t="s">
        <x:v>20</x:v>
      </x:c>
      <x:c r="K279" s="1" t="s">
        <x:v>20</x:v>
      </x:c>
      <x:c r="L279" s="1" t="s">
        <x:v>20</x:v>
      </x:c>
      <x:c r="M279" s="1" t="s">
        <x:v>20</x:v>
      </x:c>
      <x:c r="N279" s="1" t="s">
        <x:v>20</x:v>
      </x:c>
      <x:c r="O279" s="1" t="s">
        <x:v>20</x:v>
      </x:c>
      <x:c r="P279" s="1" t="s">
        <x:v>20</x:v>
      </x:c>
      <x:c r="Q279" s="1" t="s">
        <x:v>20</x:v>
      </x:c>
    </x:row>
    <x:row r="280" spans="1:17">
      <x:c r="A280" s="1" t="s">
        <x:v>20</x:v>
      </x:c>
      <x:c r="B280" s="2" t="s">
        <x:v>20</x:v>
      </x:c>
      <x:c r="C280" s="2" t="s">
        <x:v>20</x:v>
      </x:c>
      <x:c r="D280" s="1" t="s">
        <x:v>20</x:v>
      </x:c>
      <x:c r="E280" s="1" t="s">
        <x:v>28</x:v>
      </x:c>
      <x:c r="F280" s="1" t="s">
        <x:v>20</x:v>
      </x:c>
      <x:c r="G280" s="1" t="s">
        <x:v>20</x:v>
      </x:c>
      <x:c r="H280" s="1" t="s">
        <x:v>29</x:v>
      </x:c>
      <x:c r="I280" s="1" t="s">
        <x:v>20</x:v>
      </x:c>
      <x:c r="J280" s="1" t="s">
        <x:v>20</x:v>
      </x:c>
      <x:c r="K280" s="1" t="s">
        <x:v>20</x:v>
      </x:c>
      <x:c r="L280" s="1" t="s">
        <x:v>20</x:v>
      </x:c>
      <x:c r="M280" s="1" t="s">
        <x:v>20</x:v>
      </x:c>
      <x:c r="N280" s="1" t="s">
        <x:v>20</x:v>
      </x:c>
      <x:c r="O280" s="1" t="s">
        <x:v>20</x:v>
      </x:c>
      <x:c r="P280" s="1" t="s">
        <x:v>20</x:v>
      </x:c>
      <x:c r="Q280" s="1" t="s">
        <x:v>20</x:v>
      </x:c>
    </x:row>
    <x:row r="281" spans="1:17">
      <x:c r="A281" s="1" t="s">
        <x:v>20</x:v>
      </x:c>
      <x:c r="B281" s="2" t="s">
        <x:v>20</x:v>
      </x:c>
      <x:c r="C281" s="2" t="s">
        <x:v>20</x:v>
      </x:c>
      <x:c r="D281" s="1" t="s">
        <x:v>20</x:v>
      </x:c>
      <x:c r="E281" s="1" t="s">
        <x:v>30</x:v>
      </x:c>
      <x:c r="F281" s="1" t="s">
        <x:v>20</x:v>
      </x:c>
      <x:c r="G281" s="1" t="s">
        <x:v>20</x:v>
      </x:c>
      <x:c r="H281" s="1" t="s">
        <x:v>31</x:v>
      </x:c>
      <x:c r="I281" s="1" t="s">
        <x:v>20</x:v>
      </x:c>
      <x:c r="J281" s="1" t="s">
        <x:v>20</x:v>
      </x:c>
      <x:c r="K281" s="1" t="s">
        <x:v>20</x:v>
      </x:c>
      <x:c r="L281" s="1" t="s">
        <x:v>20</x:v>
      </x:c>
      <x:c r="M281" s="1" t="s">
        <x:v>20</x:v>
      </x:c>
      <x:c r="N281" s="1" t="s">
        <x:v>20</x:v>
      </x:c>
      <x:c r="O281" s="1" t="s">
        <x:v>20</x:v>
      </x:c>
      <x:c r="P281" s="1" t="s">
        <x:v>20</x:v>
      </x:c>
      <x:c r="Q281" s="1" t="s">
        <x:v>20</x:v>
      </x:c>
    </x:row>
    <x:row r="282" spans="1:17">
      <x:c r="A282" s="1" t="s">
        <x:v>20</x:v>
      </x:c>
      <x:c r="B282" s="2" t="s">
        <x:v>20</x:v>
      </x:c>
      <x:c r="C282" s="2" t="s">
        <x:v>20</x:v>
      </x:c>
      <x:c r="D282" s="1" t="s">
        <x:v>20</x:v>
      </x:c>
      <x:c r="E282" s="1" t="s">
        <x:v>20</x:v>
      </x:c>
      <x:c r="F282" s="1" t="s">
        <x:v>168</x:v>
      </x:c>
      <x:c r="G282" s="1" t="s">
        <x:v>20</x:v>
      </x:c>
      <x:c r="H282" s="1" t="s">
        <x:v>105</x:v>
      </x:c>
      <x:c r="I282" s="1" t="s">
        <x:v>20</x:v>
      </x:c>
      <x:c r="J282" s="1" t="s">
        <x:v>20</x:v>
      </x:c>
      <x:c r="K282" s="1" t="s">
        <x:v>20</x:v>
      </x:c>
      <x:c r="L282" s="1" t="s">
        <x:v>20</x:v>
      </x:c>
      <x:c r="M282" s="1" t="s">
        <x:v>20</x:v>
      </x:c>
      <x:c r="N282" s="1" t="s">
        <x:v>20</x:v>
      </x:c>
      <x:c r="O282" s="1" t="s">
        <x:v>20</x:v>
      </x:c>
      <x:c r="P282" s="1" t="s">
        <x:v>20</x:v>
      </x:c>
      <x:c r="Q282" s="1" t="s">
        <x:v>20</x:v>
      </x:c>
    </x:row>
    <x:row r="283" spans="1:17">
      <x:c r="A283" s="1" t="s">
        <x:v>20</x:v>
      </x:c>
      <x:c r="B283" s="2" t="s">
        <x:v>20</x:v>
      </x:c>
      <x:c r="C283" s="2" t="s">
        <x:v>20</x:v>
      </x:c>
      <x:c r="D283" s="1" t="s">
        <x:v>20</x:v>
      </x:c>
      <x:c r="E283" s="1" t="s">
        <x:v>20</x:v>
      </x:c>
      <x:c r="F283" s="1" t="s">
        <x:v>86</x:v>
      </x:c>
      <x:c r="G283" s="1" t="s">
        <x:v>20</x:v>
      </x:c>
      <x:c r="H283" s="1" t="s">
        <x:v>128</x:v>
      </x:c>
      <x:c r="I283" s="1" t="s">
        <x:v>20</x:v>
      </x:c>
      <x:c r="J283" s="1" t="s">
        <x:v>20</x:v>
      </x:c>
      <x:c r="K283" s="1" t="s">
        <x:v>20</x:v>
      </x:c>
      <x:c r="L283" s="1" t="s">
        <x:v>20</x:v>
      </x:c>
      <x:c r="M283" s="1" t="s">
        <x:v>20</x:v>
      </x:c>
      <x:c r="N283" s="1" t="s">
        <x:v>20</x:v>
      </x:c>
      <x:c r="O283" s="1" t="s">
        <x:v>20</x:v>
      </x:c>
      <x:c r="P283" s="1" t="s">
        <x:v>20</x:v>
      </x:c>
      <x:c r="Q283" s="1" t="s">
        <x:v>20</x:v>
      </x:c>
    </x:row>
    <x:row r="284" spans="1:17">
      <x:c r="A284" s="1" t="s">
        <x:v>169</x:v>
      </x:c>
      <x:c r="B284" s="2" t="s">
        <x:v>18</x:v>
      </x:c>
      <x:c r="C284" s="2">
        <x:f>HYPERLINK("https://team-oisq.testit.software/projects/1/tests/48", "Проверка авторизации с email, введённым кириллицей и пустым паролем")</x:f>
      </x:c>
      <x:c r="D284" s="1" t="s">
        <x:v>19</x:v>
      </x:c>
      <x:c r="E284" s="1" t="s">
        <x:v>20</x:v>
      </x:c>
      <x:c r="F284" s="1" t="s">
        <x:v>20</x:v>
      </x:c>
      <x:c r="G284" s="1" t="s">
        <x:v>20</x:v>
      </x:c>
      <x:c r="H284" s="1" t="s">
        <x:v>20</x:v>
      </x:c>
      <x:c r="I284" s="1" t="s">
        <x:v>20</x:v>
      </x:c>
      <x:c r="J284" s="1" t="s">
        <x:v>20</x:v>
      </x:c>
      <x:c r="K284" s="1" t="s">
        <x:v>20</x:v>
      </x:c>
      <x:c r="L284" s="1" t="s">
        <x:v>21</x:v>
      </x:c>
      <x:c r="M284" s="1" t="s">
        <x:v>22</x:v>
      </x:c>
      <x:c r="N284" s="1" t="s">
        <x:v>170</x:v>
      </x:c>
      <x:c r="O284" s="1" t="s">
        <x:v>24</x:v>
      </x:c>
      <x:c r="P284" s="1" t="s">
        <x:v>25</x:v>
      </x:c>
      <x:c r="Q284" s="1" t="s">
        <x:v>26</x:v>
      </x:c>
    </x:row>
    <x:row r="285" spans="1:17">
      <x:c r="A285" s="1" t="s">
        <x:v>20</x:v>
      </x:c>
      <x:c r="B285" s="2" t="s">
        <x:v>20</x:v>
      </x:c>
      <x:c r="C285" s="2" t="s">
        <x:v>20</x:v>
      </x:c>
      <x:c r="D285" s="1" t="s">
        <x:v>20</x:v>
      </x:c>
      <x:c r="E285" s="1" t="s">
        <x:v>27</x:v>
      </x:c>
      <x:c r="F285" s="1" t="s">
        <x:v>20</x:v>
      </x:c>
      <x:c r="G285" s="1" t="s">
        <x:v>20</x:v>
      </x:c>
      <x:c r="H285" s="1" t="s">
        <x:v>20</x:v>
      </x:c>
      <x:c r="I285" s="1" t="s">
        <x:v>20</x:v>
      </x:c>
      <x:c r="J285" s="1" t="s">
        <x:v>20</x:v>
      </x:c>
      <x:c r="K285" s="1" t="s">
        <x:v>20</x:v>
      </x:c>
      <x:c r="L285" s="1" t="s">
        <x:v>20</x:v>
      </x:c>
      <x:c r="M285" s="1" t="s">
        <x:v>20</x:v>
      </x:c>
      <x:c r="N285" s="1" t="s">
        <x:v>20</x:v>
      </x:c>
      <x:c r="O285" s="1" t="s">
        <x:v>20</x:v>
      </x:c>
      <x:c r="P285" s="1" t="s">
        <x:v>20</x:v>
      </x:c>
      <x:c r="Q285" s="1" t="s">
        <x:v>20</x:v>
      </x:c>
    </x:row>
    <x:row r="286" spans="1:17">
      <x:c r="A286" s="1" t="s">
        <x:v>20</x:v>
      </x:c>
      <x:c r="B286" s="2" t="s">
        <x:v>20</x:v>
      </x:c>
      <x:c r="C286" s="2" t="s">
        <x:v>20</x:v>
      </x:c>
      <x:c r="D286" s="1" t="s">
        <x:v>20</x:v>
      </x:c>
      <x:c r="E286" s="1" t="s">
        <x:v>28</x:v>
      </x:c>
      <x:c r="F286" s="1" t="s">
        <x:v>20</x:v>
      </x:c>
      <x:c r="G286" s="1" t="s">
        <x:v>20</x:v>
      </x:c>
      <x:c r="H286" s="1" t="s">
        <x:v>29</x:v>
      </x:c>
      <x:c r="I286" s="1" t="s">
        <x:v>20</x:v>
      </x:c>
      <x:c r="J286" s="1" t="s">
        <x:v>20</x:v>
      </x:c>
      <x:c r="K286" s="1" t="s">
        <x:v>20</x:v>
      </x:c>
      <x:c r="L286" s="1" t="s">
        <x:v>20</x:v>
      </x:c>
      <x:c r="M286" s="1" t="s">
        <x:v>20</x:v>
      </x:c>
      <x:c r="N286" s="1" t="s">
        <x:v>20</x:v>
      </x:c>
      <x:c r="O286" s="1" t="s">
        <x:v>20</x:v>
      </x:c>
      <x:c r="P286" s="1" t="s">
        <x:v>20</x:v>
      </x:c>
      <x:c r="Q286" s="1" t="s">
        <x:v>20</x:v>
      </x:c>
    </x:row>
    <x:row r="287" spans="1:17">
      <x:c r="A287" s="1" t="s">
        <x:v>20</x:v>
      </x:c>
      <x:c r="B287" s="2" t="s">
        <x:v>20</x:v>
      </x:c>
      <x:c r="C287" s="2" t="s">
        <x:v>20</x:v>
      </x:c>
      <x:c r="D287" s="1" t="s">
        <x:v>20</x:v>
      </x:c>
      <x:c r="E287" s="1" t="s">
        <x:v>30</x:v>
      </x:c>
      <x:c r="F287" s="1" t="s">
        <x:v>20</x:v>
      </x:c>
      <x:c r="G287" s="1" t="s">
        <x:v>20</x:v>
      </x:c>
      <x:c r="H287" s="1" t="s">
        <x:v>31</x:v>
      </x:c>
      <x:c r="I287" s="1" t="s">
        <x:v>20</x:v>
      </x:c>
      <x:c r="J287" s="1" t="s">
        <x:v>20</x:v>
      </x:c>
      <x:c r="K287" s="1" t="s">
        <x:v>20</x:v>
      </x:c>
      <x:c r="L287" s="1" t="s">
        <x:v>20</x:v>
      </x:c>
      <x:c r="M287" s="1" t="s">
        <x:v>20</x:v>
      </x:c>
      <x:c r="N287" s="1" t="s">
        <x:v>20</x:v>
      </x:c>
      <x:c r="O287" s="1" t="s">
        <x:v>20</x:v>
      </x:c>
      <x:c r="P287" s="1" t="s">
        <x:v>20</x:v>
      </x:c>
      <x:c r="Q287" s="1" t="s">
        <x:v>20</x:v>
      </x:c>
    </x:row>
    <x:row r="288" spans="1:17">
      <x:c r="A288" s="1" t="s">
        <x:v>20</x:v>
      </x:c>
      <x:c r="B288" s="2" t="s">
        <x:v>20</x:v>
      </x:c>
      <x:c r="C288" s="2" t="s">
        <x:v>20</x:v>
      </x:c>
      <x:c r="D288" s="1" t="s">
        <x:v>20</x:v>
      </x:c>
      <x:c r="E288" s="1" t="s">
        <x:v>20</x:v>
      </x:c>
      <x:c r="F288" s="1" t="s">
        <x:v>168</x:v>
      </x:c>
      <x:c r="G288" s="1" t="s">
        <x:v>20</x:v>
      </x:c>
      <x:c r="H288" s="1" t="s">
        <x:v>105</x:v>
      </x:c>
      <x:c r="I288" s="1" t="s">
        <x:v>20</x:v>
      </x:c>
      <x:c r="J288" s="1" t="s">
        <x:v>20</x:v>
      </x:c>
      <x:c r="K288" s="1" t="s">
        <x:v>20</x:v>
      </x:c>
      <x:c r="L288" s="1" t="s">
        <x:v>20</x:v>
      </x:c>
      <x:c r="M288" s="1" t="s">
        <x:v>20</x:v>
      </x:c>
      <x:c r="N288" s="1" t="s">
        <x:v>20</x:v>
      </x:c>
      <x:c r="O288" s="1" t="s">
        <x:v>20</x:v>
      </x:c>
      <x:c r="P288" s="1" t="s">
        <x:v>20</x:v>
      </x:c>
      <x:c r="Q288" s="1" t="s">
        <x:v>20</x:v>
      </x:c>
    </x:row>
    <x:row r="289" spans="1:17">
      <x:c r="A289" s="1" t="s">
        <x:v>20</x:v>
      </x:c>
      <x:c r="B289" s="2" t="s">
        <x:v>20</x:v>
      </x:c>
      <x:c r="C289" s="2" t="s">
        <x:v>20</x:v>
      </x:c>
      <x:c r="D289" s="1" t="s">
        <x:v>20</x:v>
      </x:c>
      <x:c r="E289" s="1" t="s">
        <x:v>20</x:v>
      </x:c>
      <x:c r="F289" s="1" t="s">
        <x:v>86</x:v>
      </x:c>
      <x:c r="G289" s="1" t="s">
        <x:v>20</x:v>
      </x:c>
      <x:c r="H289" s="1" t="s">
        <x:v>128</x:v>
      </x:c>
      <x:c r="I289" s="1" t="s">
        <x:v>20</x:v>
      </x:c>
      <x:c r="J289" s="1" t="s">
        <x:v>20</x:v>
      </x:c>
      <x:c r="K289" s="1" t="s">
        <x:v>20</x:v>
      </x:c>
      <x:c r="L289" s="1" t="s">
        <x:v>20</x:v>
      </x:c>
      <x:c r="M289" s="1" t="s">
        <x:v>20</x:v>
      </x:c>
      <x:c r="N289" s="1" t="s">
        <x:v>20</x:v>
      </x:c>
      <x:c r="O289" s="1" t="s">
        <x:v>20</x:v>
      </x:c>
      <x:c r="P289" s="1" t="s">
        <x:v>20</x:v>
      </x:c>
      <x:c r="Q289" s="1" t="s">
        <x:v>20</x:v>
      </x:c>
    </x:row>
    <x:row r="290" spans="1:17">
      <x:c r="A290" s="1" t="s">
        <x:v>171</x:v>
      </x:c>
      <x:c r="B290" s="2" t="s">
        <x:v>18</x:v>
      </x:c>
      <x:c r="C290" s="2">
        <x:f>HYPERLINK("https://team-oisq.testit.software/projects/1/tests/49", "Проверка авторизации с email, введённым кириллицей и двумя пробелами в поле пароль")</x:f>
      </x:c>
      <x:c r="D290" s="1" t="s">
        <x:v>19</x:v>
      </x:c>
      <x:c r="E290" s="1" t="s">
        <x:v>20</x:v>
      </x:c>
      <x:c r="F290" s="1" t="s">
        <x:v>20</x:v>
      </x:c>
      <x:c r="G290" s="1" t="s">
        <x:v>20</x:v>
      </x:c>
      <x:c r="H290" s="1" t="s">
        <x:v>20</x:v>
      </x:c>
      <x:c r="I290" s="1" t="s">
        <x:v>20</x:v>
      </x:c>
      <x:c r="J290" s="1" t="s">
        <x:v>20</x:v>
      </x:c>
      <x:c r="K290" s="1" t="s">
        <x:v>20</x:v>
      </x:c>
      <x:c r="L290" s="1" t="s">
        <x:v>21</x:v>
      </x:c>
      <x:c r="M290" s="1" t="s">
        <x:v>22</x:v>
      </x:c>
      <x:c r="N290" s="1" t="s">
        <x:v>172</x:v>
      </x:c>
      <x:c r="O290" s="1" t="s">
        <x:v>24</x:v>
      </x:c>
      <x:c r="P290" s="1" t="s">
        <x:v>25</x:v>
      </x:c>
      <x:c r="Q290" s="1" t="s">
        <x:v>26</x:v>
      </x:c>
    </x:row>
    <x:row r="291" spans="1:17">
      <x:c r="A291" s="1" t="s">
        <x:v>20</x:v>
      </x:c>
      <x:c r="B291" s="2" t="s">
        <x:v>20</x:v>
      </x:c>
      <x:c r="C291" s="2" t="s">
        <x:v>20</x:v>
      </x:c>
      <x:c r="D291" s="1" t="s">
        <x:v>20</x:v>
      </x:c>
      <x:c r="E291" s="1" t="s">
        <x:v>27</x:v>
      </x:c>
      <x:c r="F291" s="1" t="s">
        <x:v>20</x:v>
      </x:c>
      <x:c r="G291" s="1" t="s">
        <x:v>20</x:v>
      </x:c>
      <x:c r="H291" s="1" t="s">
        <x:v>20</x:v>
      </x:c>
      <x:c r="I291" s="1" t="s">
        <x:v>20</x:v>
      </x:c>
      <x:c r="J291" s="1" t="s">
        <x:v>20</x:v>
      </x:c>
      <x:c r="K291" s="1" t="s">
        <x:v>20</x:v>
      </x:c>
      <x:c r="L291" s="1" t="s">
        <x:v>20</x:v>
      </x:c>
      <x:c r="M291" s="1" t="s">
        <x:v>20</x:v>
      </x:c>
      <x:c r="N291" s="1" t="s">
        <x:v>20</x:v>
      </x:c>
      <x:c r="O291" s="1" t="s">
        <x:v>20</x:v>
      </x:c>
      <x:c r="P291" s="1" t="s">
        <x:v>20</x:v>
      </x:c>
      <x:c r="Q291" s="1" t="s">
        <x:v>20</x:v>
      </x:c>
    </x:row>
    <x:row r="292" spans="1:17">
      <x:c r="A292" s="1" t="s">
        <x:v>20</x:v>
      </x:c>
      <x:c r="B292" s="2" t="s">
        <x:v>20</x:v>
      </x:c>
      <x:c r="C292" s="2" t="s">
        <x:v>20</x:v>
      </x:c>
      <x:c r="D292" s="1" t="s">
        <x:v>20</x:v>
      </x:c>
      <x:c r="E292" s="1" t="s">
        <x:v>28</x:v>
      </x:c>
      <x:c r="F292" s="1" t="s">
        <x:v>20</x:v>
      </x:c>
      <x:c r="G292" s="1" t="s">
        <x:v>20</x:v>
      </x:c>
      <x:c r="H292" s="1" t="s">
        <x:v>29</x:v>
      </x:c>
      <x:c r="I292" s="1" t="s">
        <x:v>20</x:v>
      </x:c>
      <x:c r="J292" s="1" t="s">
        <x:v>20</x:v>
      </x:c>
      <x:c r="K292" s="1" t="s">
        <x:v>20</x:v>
      </x:c>
      <x:c r="L292" s="1" t="s">
        <x:v>20</x:v>
      </x:c>
      <x:c r="M292" s="1" t="s">
        <x:v>20</x:v>
      </x:c>
      <x:c r="N292" s="1" t="s">
        <x:v>20</x:v>
      </x:c>
      <x:c r="O292" s="1" t="s">
        <x:v>20</x:v>
      </x:c>
      <x:c r="P292" s="1" t="s">
        <x:v>20</x:v>
      </x:c>
      <x:c r="Q292" s="1" t="s">
        <x:v>20</x:v>
      </x:c>
    </x:row>
    <x:row r="293" spans="1:17">
      <x:c r="A293" s="1" t="s">
        <x:v>20</x:v>
      </x:c>
      <x:c r="B293" s="2" t="s">
        <x:v>20</x:v>
      </x:c>
      <x:c r="C293" s="2" t="s">
        <x:v>20</x:v>
      </x:c>
      <x:c r="D293" s="1" t="s">
        <x:v>20</x:v>
      </x:c>
      <x:c r="E293" s="1" t="s">
        <x:v>30</x:v>
      </x:c>
      <x:c r="F293" s="1" t="s">
        <x:v>20</x:v>
      </x:c>
      <x:c r="G293" s="1" t="s">
        <x:v>20</x:v>
      </x:c>
      <x:c r="H293" s="1" t="s">
        <x:v>31</x:v>
      </x:c>
      <x:c r="I293" s="1" t="s">
        <x:v>20</x:v>
      </x:c>
      <x:c r="J293" s="1" t="s">
        <x:v>20</x:v>
      </x:c>
      <x:c r="K293" s="1" t="s">
        <x:v>20</x:v>
      </x:c>
      <x:c r="L293" s="1" t="s">
        <x:v>20</x:v>
      </x:c>
      <x:c r="M293" s="1" t="s">
        <x:v>20</x:v>
      </x:c>
      <x:c r="N293" s="1" t="s">
        <x:v>20</x:v>
      </x:c>
      <x:c r="O293" s="1" t="s">
        <x:v>20</x:v>
      </x:c>
      <x:c r="P293" s="1" t="s">
        <x:v>20</x:v>
      </x:c>
      <x:c r="Q293" s="1" t="s">
        <x:v>20</x:v>
      </x:c>
    </x:row>
    <x:row r="294" spans="1:17">
      <x:c r="A294" s="1" t="s">
        <x:v>20</x:v>
      </x:c>
      <x:c r="B294" s="2" t="s">
        <x:v>20</x:v>
      </x:c>
      <x:c r="C294" s="2" t="s">
        <x:v>20</x:v>
      </x:c>
      <x:c r="D294" s="1" t="s">
        <x:v>20</x:v>
      </x:c>
      <x:c r="E294" s="1" t="s">
        <x:v>20</x:v>
      </x:c>
      <x:c r="F294" s="1" t="s">
        <x:v>168</x:v>
      </x:c>
      <x:c r="G294" s="1" t="s">
        <x:v>20</x:v>
      </x:c>
      <x:c r="H294" s="1" t="s">
        <x:v>105</x:v>
      </x:c>
      <x:c r="I294" s="1" t="s">
        <x:v>20</x:v>
      </x:c>
      <x:c r="J294" s="1" t="s">
        <x:v>20</x:v>
      </x:c>
      <x:c r="K294" s="1" t="s">
        <x:v>20</x:v>
      </x:c>
      <x:c r="L294" s="1" t="s">
        <x:v>20</x:v>
      </x:c>
      <x:c r="M294" s="1" t="s">
        <x:v>20</x:v>
      </x:c>
      <x:c r="N294" s="1" t="s">
        <x:v>20</x:v>
      </x:c>
      <x:c r="O294" s="1" t="s">
        <x:v>20</x:v>
      </x:c>
      <x:c r="P294" s="1" t="s">
        <x:v>20</x:v>
      </x:c>
      <x:c r="Q294" s="1" t="s">
        <x:v>20</x:v>
      </x:c>
    </x:row>
    <x:row r="295" spans="1:17">
      <x:c r="A295" s="1" t="s">
        <x:v>20</x:v>
      </x:c>
      <x:c r="B295" s="2" t="s">
        <x:v>20</x:v>
      </x:c>
      <x:c r="C295" s="2" t="s">
        <x:v>20</x:v>
      </x:c>
      <x:c r="D295" s="1" t="s">
        <x:v>20</x:v>
      </x:c>
      <x:c r="E295" s="1" t="s">
        <x:v>20</x:v>
      </x:c>
      <x:c r="F295" s="1" t="s">
        <x:v>86</x:v>
      </x:c>
      <x:c r="G295" s="1" t="s">
        <x:v>20</x:v>
      </x:c>
      <x:c r="H295" s="1" t="s">
        <x:v>128</x:v>
      </x:c>
      <x:c r="I295" s="1" t="s">
        <x:v>20</x:v>
      </x:c>
      <x:c r="J295" s="1" t="s">
        <x:v>20</x:v>
      </x:c>
      <x:c r="K295" s="1" t="s">
        <x:v>20</x:v>
      </x:c>
      <x:c r="L295" s="1" t="s">
        <x:v>20</x:v>
      </x:c>
      <x:c r="M295" s="1" t="s">
        <x:v>20</x:v>
      </x:c>
      <x:c r="N295" s="1" t="s">
        <x:v>20</x:v>
      </x:c>
      <x:c r="O295" s="1" t="s">
        <x:v>20</x:v>
      </x:c>
      <x:c r="P295" s="1" t="s">
        <x:v>20</x:v>
      </x:c>
      <x:c r="Q295" s="1" t="s">
        <x:v>20</x:v>
      </x:c>
    </x:row>
    <x:row r="296" spans="1:17">
      <x:c r="A296" s="1" t="s">
        <x:v>173</x:v>
      </x:c>
      <x:c r="B296" s="2" t="s">
        <x:v>18</x:v>
      </x:c>
      <x:c r="C296" s="2">
        <x:f>HYPERLINK("https://team-oisq.testit.software/projects/1/tests/50", "Проверка авторизации с email, введённым кириллицей и паролем без цифр")</x:f>
      </x:c>
      <x:c r="D296" s="1" t="s">
        <x:v>19</x:v>
      </x:c>
      <x:c r="E296" s="1" t="s">
        <x:v>20</x:v>
      </x:c>
      <x:c r="F296" s="1" t="s">
        <x:v>20</x:v>
      </x:c>
      <x:c r="G296" s="1" t="s">
        <x:v>20</x:v>
      </x:c>
      <x:c r="H296" s="1" t="s">
        <x:v>20</x:v>
      </x:c>
      <x:c r="I296" s="1" t="s">
        <x:v>20</x:v>
      </x:c>
      <x:c r="J296" s="1" t="s">
        <x:v>20</x:v>
      </x:c>
      <x:c r="K296" s="1" t="s">
        <x:v>20</x:v>
      </x:c>
      <x:c r="L296" s="1" t="s">
        <x:v>21</x:v>
      </x:c>
      <x:c r="M296" s="1" t="s">
        <x:v>22</x:v>
      </x:c>
      <x:c r="N296" s="1" t="s">
        <x:v>174</x:v>
      </x:c>
      <x:c r="O296" s="1" t="s">
        <x:v>24</x:v>
      </x:c>
      <x:c r="P296" s="1" t="s">
        <x:v>25</x:v>
      </x:c>
      <x:c r="Q296" s="1" t="s">
        <x:v>26</x:v>
      </x:c>
    </x:row>
    <x:row r="297" spans="1:17">
      <x:c r="A297" s="1" t="s">
        <x:v>20</x:v>
      </x:c>
      <x:c r="B297" s="2" t="s">
        <x:v>20</x:v>
      </x:c>
      <x:c r="C297" s="2" t="s">
        <x:v>20</x:v>
      </x:c>
      <x:c r="D297" s="1" t="s">
        <x:v>20</x:v>
      </x:c>
      <x:c r="E297" s="1" t="s">
        <x:v>27</x:v>
      </x:c>
      <x:c r="F297" s="1" t="s">
        <x:v>20</x:v>
      </x:c>
      <x:c r="G297" s="1" t="s">
        <x:v>20</x:v>
      </x:c>
      <x:c r="H297" s="1" t="s">
        <x:v>20</x:v>
      </x:c>
      <x:c r="I297" s="1" t="s">
        <x:v>20</x:v>
      </x:c>
      <x:c r="J297" s="1" t="s">
        <x:v>20</x:v>
      </x:c>
      <x:c r="K297" s="1" t="s">
        <x:v>20</x:v>
      </x:c>
      <x:c r="L297" s="1" t="s">
        <x:v>20</x:v>
      </x:c>
      <x:c r="M297" s="1" t="s">
        <x:v>20</x:v>
      </x:c>
      <x:c r="N297" s="1" t="s">
        <x:v>20</x:v>
      </x:c>
      <x:c r="O297" s="1" t="s">
        <x:v>20</x:v>
      </x:c>
      <x:c r="P297" s="1" t="s">
        <x:v>20</x:v>
      </x:c>
      <x:c r="Q297" s="1" t="s">
        <x:v>20</x:v>
      </x:c>
    </x:row>
    <x:row r="298" spans="1:17">
      <x:c r="A298" s="1" t="s">
        <x:v>20</x:v>
      </x:c>
      <x:c r="B298" s="2" t="s">
        <x:v>20</x:v>
      </x:c>
      <x:c r="C298" s="2" t="s">
        <x:v>20</x:v>
      </x:c>
      <x:c r="D298" s="1" t="s">
        <x:v>20</x:v>
      </x:c>
      <x:c r="E298" s="1" t="s">
        <x:v>28</x:v>
      </x:c>
      <x:c r="F298" s="1" t="s">
        <x:v>20</x:v>
      </x:c>
      <x:c r="G298" s="1" t="s">
        <x:v>20</x:v>
      </x:c>
      <x:c r="H298" s="1" t="s">
        <x:v>29</x:v>
      </x:c>
      <x:c r="I298" s="1" t="s">
        <x:v>20</x:v>
      </x:c>
      <x:c r="J298" s="1" t="s">
        <x:v>20</x:v>
      </x:c>
      <x:c r="K298" s="1" t="s">
        <x:v>20</x:v>
      </x:c>
      <x:c r="L298" s="1" t="s">
        <x:v>20</x:v>
      </x:c>
      <x:c r="M298" s="1" t="s">
        <x:v>20</x:v>
      </x:c>
      <x:c r="N298" s="1" t="s">
        <x:v>20</x:v>
      </x:c>
      <x:c r="O298" s="1" t="s">
        <x:v>20</x:v>
      </x:c>
      <x:c r="P298" s="1" t="s">
        <x:v>20</x:v>
      </x:c>
      <x:c r="Q298" s="1" t="s">
        <x:v>20</x:v>
      </x:c>
    </x:row>
    <x:row r="299" spans="1:17">
      <x:c r="A299" s="1" t="s">
        <x:v>20</x:v>
      </x:c>
      <x:c r="B299" s="2" t="s">
        <x:v>20</x:v>
      </x:c>
      <x:c r="C299" s="2" t="s">
        <x:v>20</x:v>
      </x:c>
      <x:c r="D299" s="1" t="s">
        <x:v>20</x:v>
      </x:c>
      <x:c r="E299" s="1" t="s">
        <x:v>30</x:v>
      </x:c>
      <x:c r="F299" s="1" t="s">
        <x:v>20</x:v>
      </x:c>
      <x:c r="G299" s="1" t="s">
        <x:v>20</x:v>
      </x:c>
      <x:c r="H299" s="1" t="s">
        <x:v>31</x:v>
      </x:c>
      <x:c r="I299" s="1" t="s">
        <x:v>20</x:v>
      </x:c>
      <x:c r="J299" s="1" t="s">
        <x:v>20</x:v>
      </x:c>
      <x:c r="K299" s="1" t="s">
        <x:v>20</x:v>
      </x:c>
      <x:c r="L299" s="1" t="s">
        <x:v>20</x:v>
      </x:c>
      <x:c r="M299" s="1" t="s">
        <x:v>20</x:v>
      </x:c>
      <x:c r="N299" s="1" t="s">
        <x:v>20</x:v>
      </x:c>
      <x:c r="O299" s="1" t="s">
        <x:v>20</x:v>
      </x:c>
      <x:c r="P299" s="1" t="s">
        <x:v>20</x:v>
      </x:c>
      <x:c r="Q299" s="1" t="s">
        <x:v>20</x:v>
      </x:c>
    </x:row>
    <x:row r="300" spans="1:17">
      <x:c r="A300" s="1" t="s">
        <x:v>20</x:v>
      </x:c>
      <x:c r="B300" s="2" t="s">
        <x:v>20</x:v>
      </x:c>
      <x:c r="C300" s="2" t="s">
        <x:v>20</x:v>
      </x:c>
      <x:c r="D300" s="1" t="s">
        <x:v>20</x:v>
      </x:c>
      <x:c r="E300" s="1" t="s">
        <x:v>20</x:v>
      </x:c>
      <x:c r="F300" s="1" t="s">
        <x:v>168</x:v>
      </x:c>
      <x:c r="G300" s="1" t="s">
        <x:v>20</x:v>
      </x:c>
      <x:c r="H300" s="1" t="s">
        <x:v>105</x:v>
      </x:c>
      <x:c r="I300" s="1" t="s">
        <x:v>20</x:v>
      </x:c>
      <x:c r="J300" s="1" t="s">
        <x:v>20</x:v>
      </x:c>
      <x:c r="K300" s="1" t="s">
        <x:v>20</x:v>
      </x:c>
      <x:c r="L300" s="1" t="s">
        <x:v>20</x:v>
      </x:c>
      <x:c r="M300" s="1" t="s">
        <x:v>20</x:v>
      </x:c>
      <x:c r="N300" s="1" t="s">
        <x:v>20</x:v>
      </x:c>
      <x:c r="O300" s="1" t="s">
        <x:v>20</x:v>
      </x:c>
      <x:c r="P300" s="1" t="s">
        <x:v>20</x:v>
      </x:c>
      <x:c r="Q300" s="1" t="s">
        <x:v>20</x:v>
      </x:c>
    </x:row>
    <x:row r="301" spans="1:17">
      <x:c r="A301" s="1" t="s">
        <x:v>20</x:v>
      </x:c>
      <x:c r="B301" s="2" t="s">
        <x:v>20</x:v>
      </x:c>
      <x:c r="C301" s="2" t="s">
        <x:v>20</x:v>
      </x:c>
      <x:c r="D301" s="1" t="s">
        <x:v>20</x:v>
      </x:c>
      <x:c r="E301" s="1" t="s">
        <x:v>20</x:v>
      </x:c>
      <x:c r="F301" s="1" t="s">
        <x:v>86</x:v>
      </x:c>
      <x:c r="G301" s="1" t="s">
        <x:v>20</x:v>
      </x:c>
      <x:c r="H301" s="1" t="s">
        <x:v>128</x:v>
      </x:c>
      <x:c r="I301" s="1" t="s">
        <x:v>20</x:v>
      </x:c>
      <x:c r="J301" s="1" t="s">
        <x:v>20</x:v>
      </x:c>
      <x:c r="K301" s="1" t="s">
        <x:v>20</x:v>
      </x:c>
      <x:c r="L301" s="1" t="s">
        <x:v>20</x:v>
      </x:c>
      <x:c r="M301" s="1" t="s">
        <x:v>20</x:v>
      </x:c>
      <x:c r="N301" s="1" t="s">
        <x:v>20</x:v>
      </x:c>
      <x:c r="O301" s="1" t="s">
        <x:v>20</x:v>
      </x:c>
      <x:c r="P301" s="1" t="s">
        <x:v>20</x:v>
      </x:c>
      <x:c r="Q301" s="1" t="s">
        <x:v>20</x:v>
      </x:c>
    </x:row>
    <x:row r="302" spans="1:17">
      <x:c r="A302" s="1" t="s">
        <x:v>175</x:v>
      </x:c>
      <x:c r="B302" s="2" t="s">
        <x:v>18</x:v>
      </x:c>
      <x:c r="C302" s="2">
        <x:f>HYPERLINK("https://team-oisq.testit.software/projects/1/tests/51", "Проверка авторизации с email, введённым кириллицей и пробелом в середине пароля")</x:f>
      </x:c>
      <x:c r="D302" s="1" t="s">
        <x:v>19</x:v>
      </x:c>
      <x:c r="E302" s="1" t="s">
        <x:v>20</x:v>
      </x:c>
      <x:c r="F302" s="1" t="s">
        <x:v>20</x:v>
      </x:c>
      <x:c r="G302" s="1" t="s">
        <x:v>20</x:v>
      </x:c>
      <x:c r="H302" s="1" t="s">
        <x:v>20</x:v>
      </x:c>
      <x:c r="I302" s="1" t="s">
        <x:v>20</x:v>
      </x:c>
      <x:c r="J302" s="1" t="s">
        <x:v>20</x:v>
      </x:c>
      <x:c r="K302" s="1" t="s">
        <x:v>20</x:v>
      </x:c>
      <x:c r="L302" s="1" t="s">
        <x:v>21</x:v>
      </x:c>
      <x:c r="M302" s="1" t="s">
        <x:v>22</x:v>
      </x:c>
      <x:c r="N302" s="1" t="s">
        <x:v>176</x:v>
      </x:c>
      <x:c r="O302" s="1" t="s">
        <x:v>24</x:v>
      </x:c>
      <x:c r="P302" s="1" t="s">
        <x:v>25</x:v>
      </x:c>
      <x:c r="Q302" s="1" t="s">
        <x:v>26</x:v>
      </x:c>
    </x:row>
    <x:row r="303" spans="1:17">
      <x:c r="A303" s="1" t="s">
        <x:v>20</x:v>
      </x:c>
      <x:c r="B303" s="2" t="s">
        <x:v>20</x:v>
      </x:c>
      <x:c r="C303" s="2" t="s">
        <x:v>20</x:v>
      </x:c>
      <x:c r="D303" s="1" t="s">
        <x:v>20</x:v>
      </x:c>
      <x:c r="E303" s="1" t="s">
        <x:v>27</x:v>
      </x:c>
      <x:c r="F303" s="1" t="s">
        <x:v>20</x:v>
      </x:c>
      <x:c r="G303" s="1" t="s">
        <x:v>20</x:v>
      </x:c>
      <x:c r="H303" s="1" t="s">
        <x:v>20</x:v>
      </x:c>
      <x:c r="I303" s="1" t="s">
        <x:v>20</x:v>
      </x:c>
      <x:c r="J303" s="1" t="s">
        <x:v>20</x:v>
      </x:c>
      <x:c r="K303" s="1" t="s">
        <x:v>20</x:v>
      </x:c>
      <x:c r="L303" s="1" t="s">
        <x:v>20</x:v>
      </x:c>
      <x:c r="M303" s="1" t="s">
        <x:v>20</x:v>
      </x:c>
      <x:c r="N303" s="1" t="s">
        <x:v>20</x:v>
      </x:c>
      <x:c r="O303" s="1" t="s">
        <x:v>20</x:v>
      </x:c>
      <x:c r="P303" s="1" t="s">
        <x:v>20</x:v>
      </x:c>
      <x:c r="Q303" s="1" t="s">
        <x:v>20</x:v>
      </x:c>
    </x:row>
    <x:row r="304" spans="1:17">
      <x:c r="A304" s="1" t="s">
        <x:v>20</x:v>
      </x:c>
      <x:c r="B304" s="2" t="s">
        <x:v>20</x:v>
      </x:c>
      <x:c r="C304" s="2" t="s">
        <x:v>20</x:v>
      </x:c>
      <x:c r="D304" s="1" t="s">
        <x:v>20</x:v>
      </x:c>
      <x:c r="E304" s="1" t="s">
        <x:v>28</x:v>
      </x:c>
      <x:c r="F304" s="1" t="s">
        <x:v>20</x:v>
      </x:c>
      <x:c r="G304" s="1" t="s">
        <x:v>20</x:v>
      </x:c>
      <x:c r="H304" s="1" t="s">
        <x:v>29</x:v>
      </x:c>
      <x:c r="I304" s="1" t="s">
        <x:v>20</x:v>
      </x:c>
      <x:c r="J304" s="1" t="s">
        <x:v>20</x:v>
      </x:c>
      <x:c r="K304" s="1" t="s">
        <x:v>20</x:v>
      </x:c>
      <x:c r="L304" s="1" t="s">
        <x:v>20</x:v>
      </x:c>
      <x:c r="M304" s="1" t="s">
        <x:v>20</x:v>
      </x:c>
      <x:c r="N304" s="1" t="s">
        <x:v>20</x:v>
      </x:c>
      <x:c r="O304" s="1" t="s">
        <x:v>20</x:v>
      </x:c>
      <x:c r="P304" s="1" t="s">
        <x:v>20</x:v>
      </x:c>
      <x:c r="Q304" s="1" t="s">
        <x:v>20</x:v>
      </x:c>
    </x:row>
    <x:row r="305" spans="1:17">
      <x:c r="A305" s="1" t="s">
        <x:v>20</x:v>
      </x:c>
      <x:c r="B305" s="2" t="s">
        <x:v>20</x:v>
      </x:c>
      <x:c r="C305" s="2" t="s">
        <x:v>20</x:v>
      </x:c>
      <x:c r="D305" s="1" t="s">
        <x:v>20</x:v>
      </x:c>
      <x:c r="E305" s="1" t="s">
        <x:v>30</x:v>
      </x:c>
      <x:c r="F305" s="1" t="s">
        <x:v>20</x:v>
      </x:c>
      <x:c r="G305" s="1" t="s">
        <x:v>20</x:v>
      </x:c>
      <x:c r="H305" s="1" t="s">
        <x:v>31</x:v>
      </x:c>
      <x:c r="I305" s="1" t="s">
        <x:v>20</x:v>
      </x:c>
      <x:c r="J305" s="1" t="s">
        <x:v>20</x:v>
      </x:c>
      <x:c r="K305" s="1" t="s">
        <x:v>20</x:v>
      </x:c>
      <x:c r="L305" s="1" t="s">
        <x:v>20</x:v>
      </x:c>
      <x:c r="M305" s="1" t="s">
        <x:v>20</x:v>
      </x:c>
      <x:c r="N305" s="1" t="s">
        <x:v>20</x:v>
      </x:c>
      <x:c r="O305" s="1" t="s">
        <x:v>20</x:v>
      </x:c>
      <x:c r="P305" s="1" t="s">
        <x:v>20</x:v>
      </x:c>
      <x:c r="Q305" s="1" t="s">
        <x:v>20</x:v>
      </x:c>
    </x:row>
    <x:row r="306" spans="1:17">
      <x:c r="A306" s="1" t="s">
        <x:v>20</x:v>
      </x:c>
      <x:c r="B306" s="2" t="s">
        <x:v>20</x:v>
      </x:c>
      <x:c r="C306" s="2" t="s">
        <x:v>20</x:v>
      </x:c>
      <x:c r="D306" s="1" t="s">
        <x:v>20</x:v>
      </x:c>
      <x:c r="E306" s="1" t="s">
        <x:v>20</x:v>
      </x:c>
      <x:c r="F306" s="1" t="s">
        <x:v>168</x:v>
      </x:c>
      <x:c r="G306" s="1" t="s">
        <x:v>20</x:v>
      </x:c>
      <x:c r="H306" s="1" t="s">
        <x:v>105</x:v>
      </x:c>
      <x:c r="I306" s="1" t="s">
        <x:v>20</x:v>
      </x:c>
      <x:c r="J306" s="1" t="s">
        <x:v>20</x:v>
      </x:c>
      <x:c r="K306" s="1" t="s">
        <x:v>20</x:v>
      </x:c>
      <x:c r="L306" s="1" t="s">
        <x:v>20</x:v>
      </x:c>
      <x:c r="M306" s="1" t="s">
        <x:v>20</x:v>
      </x:c>
      <x:c r="N306" s="1" t="s">
        <x:v>20</x:v>
      </x:c>
      <x:c r="O306" s="1" t="s">
        <x:v>20</x:v>
      </x:c>
      <x:c r="P306" s="1" t="s">
        <x:v>20</x:v>
      </x:c>
      <x:c r="Q306" s="1" t="s">
        <x:v>20</x:v>
      </x:c>
    </x:row>
    <x:row r="307" spans="1:17">
      <x:c r="A307" s="1" t="s">
        <x:v>20</x:v>
      </x:c>
      <x:c r="B307" s="2" t="s">
        <x:v>20</x:v>
      </x:c>
      <x:c r="C307" s="2" t="s">
        <x:v>20</x:v>
      </x:c>
      <x:c r="D307" s="1" t="s">
        <x:v>20</x:v>
      </x:c>
      <x:c r="E307" s="1" t="s">
        <x:v>20</x:v>
      </x:c>
      <x:c r="F307" s="1" t="s">
        <x:v>86</x:v>
      </x:c>
      <x:c r="G307" s="1" t="s">
        <x:v>20</x:v>
      </x:c>
      <x:c r="H307" s="1" t="s">
        <x:v>128</x:v>
      </x:c>
      <x:c r="I307" s="1" t="s">
        <x:v>20</x:v>
      </x:c>
      <x:c r="J307" s="1" t="s">
        <x:v>20</x:v>
      </x:c>
      <x:c r="K307" s="1" t="s">
        <x:v>20</x:v>
      </x:c>
      <x:c r="L307" s="1" t="s">
        <x:v>20</x:v>
      </x:c>
      <x:c r="M307" s="1" t="s">
        <x:v>20</x:v>
      </x:c>
      <x:c r="N307" s="1" t="s">
        <x:v>20</x:v>
      </x:c>
      <x:c r="O307" s="1" t="s">
        <x:v>20</x:v>
      </x:c>
      <x:c r="P307" s="1" t="s">
        <x:v>20</x:v>
      </x:c>
      <x:c r="Q307" s="1" t="s">
        <x:v>20</x:v>
      </x:c>
    </x:row>
    <x:row r="308" spans="1:17">
      <x:c r="A308" s="1" t="s">
        <x:v>177</x:v>
      </x:c>
      <x:c r="B308" s="2" t="s">
        <x:v>18</x:v>
      </x:c>
      <x:c r="C308" s="2">
        <x:f>HYPERLINK("https://team-oisq.testit.software/projects/1/tests/52", "Проверка авторизации с email, введённым кириллицей и паролем, введённым с caps lock")</x:f>
      </x:c>
      <x:c r="D308" s="1" t="s">
        <x:v>19</x:v>
      </x:c>
      <x:c r="E308" s="1" t="s">
        <x:v>20</x:v>
      </x:c>
      <x:c r="F308" s="1" t="s">
        <x:v>20</x:v>
      </x:c>
      <x:c r="G308" s="1" t="s">
        <x:v>20</x:v>
      </x:c>
      <x:c r="H308" s="1" t="s">
        <x:v>20</x:v>
      </x:c>
      <x:c r="I308" s="1" t="s">
        <x:v>20</x:v>
      </x:c>
      <x:c r="J308" s="1" t="s">
        <x:v>20</x:v>
      </x:c>
      <x:c r="K308" s="1" t="s">
        <x:v>20</x:v>
      </x:c>
      <x:c r="L308" s="1" t="s">
        <x:v>21</x:v>
      </x:c>
      <x:c r="M308" s="1" t="s">
        <x:v>22</x:v>
      </x:c>
      <x:c r="N308" s="1" t="s">
        <x:v>178</x:v>
      </x:c>
      <x:c r="O308" s="1" t="s">
        <x:v>24</x:v>
      </x:c>
      <x:c r="P308" s="1" t="s">
        <x:v>25</x:v>
      </x:c>
      <x:c r="Q308" s="1" t="s">
        <x:v>26</x:v>
      </x:c>
    </x:row>
    <x:row r="309" spans="1:17">
      <x:c r="A309" s="1" t="s">
        <x:v>20</x:v>
      </x:c>
      <x:c r="B309" s="2" t="s">
        <x:v>20</x:v>
      </x:c>
      <x:c r="C309" s="2" t="s">
        <x:v>20</x:v>
      </x:c>
      <x:c r="D309" s="1" t="s">
        <x:v>20</x:v>
      </x:c>
      <x:c r="E309" s="1" t="s">
        <x:v>27</x:v>
      </x:c>
      <x:c r="F309" s="1" t="s">
        <x:v>20</x:v>
      </x:c>
      <x:c r="G309" s="1" t="s">
        <x:v>20</x:v>
      </x:c>
      <x:c r="H309" s="1" t="s">
        <x:v>20</x:v>
      </x:c>
      <x:c r="I309" s="1" t="s">
        <x:v>20</x:v>
      </x:c>
      <x:c r="J309" s="1" t="s">
        <x:v>20</x:v>
      </x:c>
      <x:c r="K309" s="1" t="s">
        <x:v>20</x:v>
      </x:c>
      <x:c r="L309" s="1" t="s">
        <x:v>20</x:v>
      </x:c>
      <x:c r="M309" s="1" t="s">
        <x:v>20</x:v>
      </x:c>
      <x:c r="N309" s="1" t="s">
        <x:v>20</x:v>
      </x:c>
      <x:c r="O309" s="1" t="s">
        <x:v>20</x:v>
      </x:c>
      <x:c r="P309" s="1" t="s">
        <x:v>20</x:v>
      </x:c>
      <x:c r="Q309" s="1" t="s">
        <x:v>20</x:v>
      </x:c>
    </x:row>
    <x:row r="310" spans="1:17">
      <x:c r="A310" s="1" t="s">
        <x:v>20</x:v>
      </x:c>
      <x:c r="B310" s="2" t="s">
        <x:v>20</x:v>
      </x:c>
      <x:c r="C310" s="2" t="s">
        <x:v>20</x:v>
      </x:c>
      <x:c r="D310" s="1" t="s">
        <x:v>20</x:v>
      </x:c>
      <x:c r="E310" s="1" t="s">
        <x:v>28</x:v>
      </x:c>
      <x:c r="F310" s="1" t="s">
        <x:v>20</x:v>
      </x:c>
      <x:c r="G310" s="1" t="s">
        <x:v>20</x:v>
      </x:c>
      <x:c r="H310" s="1" t="s">
        <x:v>29</x:v>
      </x:c>
      <x:c r="I310" s="1" t="s">
        <x:v>20</x:v>
      </x:c>
      <x:c r="J310" s="1" t="s">
        <x:v>20</x:v>
      </x:c>
      <x:c r="K310" s="1" t="s">
        <x:v>20</x:v>
      </x:c>
      <x:c r="L310" s="1" t="s">
        <x:v>20</x:v>
      </x:c>
      <x:c r="M310" s="1" t="s">
        <x:v>20</x:v>
      </x:c>
      <x:c r="N310" s="1" t="s">
        <x:v>20</x:v>
      </x:c>
      <x:c r="O310" s="1" t="s">
        <x:v>20</x:v>
      </x:c>
      <x:c r="P310" s="1" t="s">
        <x:v>20</x:v>
      </x:c>
      <x:c r="Q310" s="1" t="s">
        <x:v>20</x:v>
      </x:c>
    </x:row>
    <x:row r="311" spans="1:17">
      <x:c r="A311" s="1" t="s">
        <x:v>20</x:v>
      </x:c>
      <x:c r="B311" s="2" t="s">
        <x:v>20</x:v>
      </x:c>
      <x:c r="C311" s="2" t="s">
        <x:v>20</x:v>
      </x:c>
      <x:c r="D311" s="1" t="s">
        <x:v>20</x:v>
      </x:c>
      <x:c r="E311" s="1" t="s">
        <x:v>30</x:v>
      </x:c>
      <x:c r="F311" s="1" t="s">
        <x:v>20</x:v>
      </x:c>
      <x:c r="G311" s="1" t="s">
        <x:v>20</x:v>
      </x:c>
      <x:c r="H311" s="1" t="s">
        <x:v>31</x:v>
      </x:c>
      <x:c r="I311" s="1" t="s">
        <x:v>20</x:v>
      </x:c>
      <x:c r="J311" s="1" t="s">
        <x:v>20</x:v>
      </x:c>
      <x:c r="K311" s="1" t="s">
        <x:v>20</x:v>
      </x:c>
      <x:c r="L311" s="1" t="s">
        <x:v>20</x:v>
      </x:c>
      <x:c r="M311" s="1" t="s">
        <x:v>20</x:v>
      </x:c>
      <x:c r="N311" s="1" t="s">
        <x:v>20</x:v>
      </x:c>
      <x:c r="O311" s="1" t="s">
        <x:v>20</x:v>
      </x:c>
      <x:c r="P311" s="1" t="s">
        <x:v>20</x:v>
      </x:c>
      <x:c r="Q311" s="1" t="s">
        <x:v>20</x:v>
      </x:c>
    </x:row>
    <x:row r="312" spans="1:17">
      <x:c r="A312" s="1" t="s">
        <x:v>20</x:v>
      </x:c>
      <x:c r="B312" s="2" t="s">
        <x:v>20</x:v>
      </x:c>
      <x:c r="C312" s="2" t="s">
        <x:v>20</x:v>
      </x:c>
      <x:c r="D312" s="1" t="s">
        <x:v>20</x:v>
      </x:c>
      <x:c r="E312" s="1" t="s">
        <x:v>20</x:v>
      </x:c>
      <x:c r="F312" s="1" t="s">
        <x:v>168</x:v>
      </x:c>
      <x:c r="G312" s="1" t="s">
        <x:v>20</x:v>
      </x:c>
      <x:c r="H312" s="1" t="s">
        <x:v>105</x:v>
      </x:c>
      <x:c r="I312" s="1" t="s">
        <x:v>20</x:v>
      </x:c>
      <x:c r="J312" s="1" t="s">
        <x:v>20</x:v>
      </x:c>
      <x:c r="K312" s="1" t="s">
        <x:v>20</x:v>
      </x:c>
      <x:c r="L312" s="1" t="s">
        <x:v>20</x:v>
      </x:c>
      <x:c r="M312" s="1" t="s">
        <x:v>20</x:v>
      </x:c>
      <x:c r="N312" s="1" t="s">
        <x:v>20</x:v>
      </x:c>
      <x:c r="O312" s="1" t="s">
        <x:v>20</x:v>
      </x:c>
      <x:c r="P312" s="1" t="s">
        <x:v>20</x:v>
      </x:c>
      <x:c r="Q312" s="1" t="s">
        <x:v>20</x:v>
      </x:c>
    </x:row>
    <x:row r="313" spans="1:17">
      <x:c r="A313" s="1" t="s">
        <x:v>20</x:v>
      </x:c>
      <x:c r="B313" s="2" t="s">
        <x:v>20</x:v>
      </x:c>
      <x:c r="C313" s="2" t="s">
        <x:v>20</x:v>
      </x:c>
      <x:c r="D313" s="1" t="s">
        <x:v>20</x:v>
      </x:c>
      <x:c r="E313" s="1" t="s">
        <x:v>20</x:v>
      </x:c>
      <x:c r="F313" s="1" t="s">
        <x:v>86</x:v>
      </x:c>
      <x:c r="G313" s="1" t="s">
        <x:v>20</x:v>
      </x:c>
      <x:c r="H313" s="1" t="s">
        <x:v>128</x:v>
      </x:c>
      <x:c r="I313" s="1" t="s">
        <x:v>20</x:v>
      </x:c>
      <x:c r="J313" s="1" t="s">
        <x:v>20</x:v>
      </x:c>
      <x:c r="K313" s="1" t="s">
        <x:v>20</x:v>
      </x:c>
      <x:c r="L313" s="1" t="s">
        <x:v>20</x:v>
      </x:c>
      <x:c r="M313" s="1" t="s">
        <x:v>20</x:v>
      </x:c>
      <x:c r="N313" s="1" t="s">
        <x:v>20</x:v>
      </x:c>
      <x:c r="O313" s="1" t="s">
        <x:v>20</x:v>
      </x:c>
      <x:c r="P313" s="1" t="s">
        <x:v>20</x:v>
      </x:c>
      <x:c r="Q313" s="1" t="s">
        <x:v>20</x:v>
      </x:c>
    </x:row>
    <x:row r="314" spans="1:17">
      <x:c r="A314" s="1" t="s">
        <x:v>179</x:v>
      </x:c>
      <x:c r="B314" s="2" t="s">
        <x:v>18</x:v>
      </x:c>
      <x:c r="C314" s="2">
        <x:f>HYPERLINK("https://team-oisq.testit.software/projects/1/tests/53", "Проверка авторизации с email, введённым кириллицей и паролем, введённым кириллицей")</x:f>
      </x:c>
      <x:c r="D314" s="1" t="s">
        <x:v>19</x:v>
      </x:c>
      <x:c r="E314" s="1" t="s">
        <x:v>20</x:v>
      </x:c>
      <x:c r="F314" s="1" t="s">
        <x:v>20</x:v>
      </x:c>
      <x:c r="G314" s="1" t="s">
        <x:v>20</x:v>
      </x:c>
      <x:c r="H314" s="1" t="s">
        <x:v>20</x:v>
      </x:c>
      <x:c r="I314" s="1" t="s">
        <x:v>20</x:v>
      </x:c>
      <x:c r="J314" s="1" t="s">
        <x:v>20</x:v>
      </x:c>
      <x:c r="K314" s="1" t="s">
        <x:v>20</x:v>
      </x:c>
      <x:c r="L314" s="1" t="s">
        <x:v>21</x:v>
      </x:c>
      <x:c r="M314" s="1" t="s">
        <x:v>22</x:v>
      </x:c>
      <x:c r="N314" s="1" t="s">
        <x:v>180</x:v>
      </x:c>
      <x:c r="O314" s="1" t="s">
        <x:v>24</x:v>
      </x:c>
      <x:c r="P314" s="1" t="s">
        <x:v>25</x:v>
      </x:c>
      <x:c r="Q314" s="1" t="s">
        <x:v>26</x:v>
      </x:c>
    </x:row>
    <x:row r="315" spans="1:17">
      <x:c r="A315" s="1" t="s">
        <x:v>20</x:v>
      </x:c>
      <x:c r="B315" s="2" t="s">
        <x:v>20</x:v>
      </x:c>
      <x:c r="C315" s="2" t="s">
        <x:v>20</x:v>
      </x:c>
      <x:c r="D315" s="1" t="s">
        <x:v>20</x:v>
      </x:c>
      <x:c r="E315" s="1" t="s">
        <x:v>27</x:v>
      </x:c>
      <x:c r="F315" s="1" t="s">
        <x:v>20</x:v>
      </x:c>
      <x:c r="G315" s="1" t="s">
        <x:v>20</x:v>
      </x:c>
      <x:c r="H315" s="1" t="s">
        <x:v>20</x:v>
      </x:c>
      <x:c r="I315" s="1" t="s">
        <x:v>20</x:v>
      </x:c>
      <x:c r="J315" s="1" t="s">
        <x:v>20</x:v>
      </x:c>
      <x:c r="K315" s="1" t="s">
        <x:v>20</x:v>
      </x:c>
      <x:c r="L315" s="1" t="s">
        <x:v>20</x:v>
      </x:c>
      <x:c r="M315" s="1" t="s">
        <x:v>20</x:v>
      </x:c>
      <x:c r="N315" s="1" t="s">
        <x:v>20</x:v>
      </x:c>
      <x:c r="O315" s="1" t="s">
        <x:v>20</x:v>
      </x:c>
      <x:c r="P315" s="1" t="s">
        <x:v>20</x:v>
      </x:c>
      <x:c r="Q315" s="1" t="s">
        <x:v>20</x:v>
      </x:c>
    </x:row>
    <x:row r="316" spans="1:17">
      <x:c r="A316" s="1" t="s">
        <x:v>20</x:v>
      </x:c>
      <x:c r="B316" s="2" t="s">
        <x:v>20</x:v>
      </x:c>
      <x:c r="C316" s="2" t="s">
        <x:v>20</x:v>
      </x:c>
      <x:c r="D316" s="1" t="s">
        <x:v>20</x:v>
      </x:c>
      <x:c r="E316" s="1" t="s">
        <x:v>28</x:v>
      </x:c>
      <x:c r="F316" s="1" t="s">
        <x:v>20</x:v>
      </x:c>
      <x:c r="G316" s="1" t="s">
        <x:v>20</x:v>
      </x:c>
      <x:c r="H316" s="1" t="s">
        <x:v>29</x:v>
      </x:c>
      <x:c r="I316" s="1" t="s">
        <x:v>20</x:v>
      </x:c>
      <x:c r="J316" s="1" t="s">
        <x:v>20</x:v>
      </x:c>
      <x:c r="K316" s="1" t="s">
        <x:v>20</x:v>
      </x:c>
      <x:c r="L316" s="1" t="s">
        <x:v>20</x:v>
      </x:c>
      <x:c r="M316" s="1" t="s">
        <x:v>20</x:v>
      </x:c>
      <x:c r="N316" s="1" t="s">
        <x:v>20</x:v>
      </x:c>
      <x:c r="O316" s="1" t="s">
        <x:v>20</x:v>
      </x:c>
      <x:c r="P316" s="1" t="s">
        <x:v>20</x:v>
      </x:c>
      <x:c r="Q316" s="1" t="s">
        <x:v>20</x:v>
      </x:c>
    </x:row>
    <x:row r="317" spans="1:17">
      <x:c r="A317" s="1" t="s">
        <x:v>20</x:v>
      </x:c>
      <x:c r="B317" s="2" t="s">
        <x:v>20</x:v>
      </x:c>
      <x:c r="C317" s="2" t="s">
        <x:v>20</x:v>
      </x:c>
      <x:c r="D317" s="1" t="s">
        <x:v>20</x:v>
      </x:c>
      <x:c r="E317" s="1" t="s">
        <x:v>30</x:v>
      </x:c>
      <x:c r="F317" s="1" t="s">
        <x:v>20</x:v>
      </x:c>
      <x:c r="G317" s="1" t="s">
        <x:v>20</x:v>
      </x:c>
      <x:c r="H317" s="1" t="s">
        <x:v>31</x:v>
      </x:c>
      <x:c r="I317" s="1" t="s">
        <x:v>20</x:v>
      </x:c>
      <x:c r="J317" s="1" t="s">
        <x:v>20</x:v>
      </x:c>
      <x:c r="K317" s="1" t="s">
        <x:v>20</x:v>
      </x:c>
      <x:c r="L317" s="1" t="s">
        <x:v>20</x:v>
      </x:c>
      <x:c r="M317" s="1" t="s">
        <x:v>20</x:v>
      </x:c>
      <x:c r="N317" s="1" t="s">
        <x:v>20</x:v>
      </x:c>
      <x:c r="O317" s="1" t="s">
        <x:v>20</x:v>
      </x:c>
      <x:c r="P317" s="1" t="s">
        <x:v>20</x:v>
      </x:c>
      <x:c r="Q317" s="1" t="s">
        <x:v>20</x:v>
      </x:c>
    </x:row>
    <x:row r="318" spans="1:17">
      <x:c r="A318" s="1" t="s">
        <x:v>20</x:v>
      </x:c>
      <x:c r="B318" s="2" t="s">
        <x:v>20</x:v>
      </x:c>
      <x:c r="C318" s="2" t="s">
        <x:v>20</x:v>
      </x:c>
      <x:c r="D318" s="1" t="s">
        <x:v>20</x:v>
      </x:c>
      <x:c r="E318" s="1" t="s">
        <x:v>20</x:v>
      </x:c>
      <x:c r="F318" s="1" t="s">
        <x:v>168</x:v>
      </x:c>
      <x:c r="G318" s="1" t="s">
        <x:v>20</x:v>
      </x:c>
      <x:c r="H318" s="1" t="s">
        <x:v>105</x:v>
      </x:c>
      <x:c r="I318" s="1" t="s">
        <x:v>20</x:v>
      </x:c>
      <x:c r="J318" s="1" t="s">
        <x:v>20</x:v>
      </x:c>
      <x:c r="K318" s="1" t="s">
        <x:v>20</x:v>
      </x:c>
      <x:c r="L318" s="1" t="s">
        <x:v>20</x:v>
      </x:c>
      <x:c r="M318" s="1" t="s">
        <x:v>20</x:v>
      </x:c>
      <x:c r="N318" s="1" t="s">
        <x:v>20</x:v>
      </x:c>
      <x:c r="O318" s="1" t="s">
        <x:v>20</x:v>
      </x:c>
      <x:c r="P318" s="1" t="s">
        <x:v>20</x:v>
      </x:c>
      <x:c r="Q318" s="1" t="s">
        <x:v>20</x:v>
      </x:c>
    </x:row>
    <x:row r="319" spans="1:17">
      <x:c r="A319" s="1" t="s">
        <x:v>20</x:v>
      </x:c>
      <x:c r="B319" s="2" t="s">
        <x:v>20</x:v>
      </x:c>
      <x:c r="C319" s="2" t="s">
        <x:v>20</x:v>
      </x:c>
      <x:c r="D319" s="1" t="s">
        <x:v>20</x:v>
      </x:c>
      <x:c r="E319" s="1" t="s">
        <x:v>20</x:v>
      </x:c>
      <x:c r="F319" s="1" t="s">
        <x:v>86</x:v>
      </x:c>
      <x:c r="G319" s="1" t="s">
        <x:v>20</x:v>
      </x:c>
      <x:c r="H319" s="1" t="s">
        <x:v>128</x:v>
      </x:c>
      <x:c r="I319" s="1" t="s">
        <x:v>20</x:v>
      </x:c>
      <x:c r="J319" s="1" t="s">
        <x:v>20</x:v>
      </x:c>
      <x:c r="K319" s="1" t="s">
        <x:v>20</x:v>
      </x:c>
      <x:c r="L319" s="1" t="s">
        <x:v>20</x:v>
      </x:c>
      <x:c r="M319" s="1" t="s">
        <x:v>20</x:v>
      </x:c>
      <x:c r="N319" s="1" t="s">
        <x:v>20</x:v>
      </x:c>
      <x:c r="O319" s="1" t="s">
        <x:v>20</x:v>
      </x:c>
      <x:c r="P319" s="1" t="s">
        <x:v>20</x:v>
      </x:c>
      <x:c r="Q319" s="1" t="s">
        <x:v>20</x:v>
      </x:c>
    </x:row>
    <x:row r="320" spans="1:17">
      <x:c r="A320" s="1" t="s">
        <x:v>181</x:v>
      </x:c>
      <x:c r="B320" s="2" t="s">
        <x:v>18</x:v>
      </x:c>
      <x:c r="C320" s="2">
        <x:f>HYPERLINK("https://team-oisq.testit.software/projects/1/tests/216", "Проверка восстановление пароля: отправка инструкции на валидный Email")</x:f>
      </x:c>
      <x:c r="D320" s="1" t="s">
        <x:v>19</x:v>
      </x:c>
      <x:c r="E320" s="1" t="s">
        <x:v>20</x:v>
      </x:c>
      <x:c r="F320" s="1" t="s">
        <x:v>20</x:v>
      </x:c>
      <x:c r="G320" s="1" t="s">
        <x:v>20</x:v>
      </x:c>
      <x:c r="H320" s="1" t="s">
        <x:v>20</x:v>
      </x:c>
      <x:c r="I320" s="1" t="s">
        <x:v>20</x:v>
      </x:c>
      <x:c r="J320" s="1" t="s">
        <x:v>20</x:v>
      </x:c>
      <x:c r="K320" s="1" t="s">
        <x:v>20</x:v>
      </x:c>
      <x:c r="L320" s="1" t="s">
        <x:v>21</x:v>
      </x:c>
      <x:c r="M320" s="1" t="s">
        <x:v>22</x:v>
      </x:c>
      <x:c r="N320" s="1" t="s">
        <x:v>182</x:v>
      </x:c>
      <x:c r="O320" s="1" t="s">
        <x:v>24</x:v>
      </x:c>
      <x:c r="P320" s="1" t="s">
        <x:v>25</x:v>
      </x:c>
      <x:c r="Q320" s="1" t="s">
        <x:v>183</x:v>
      </x:c>
    </x:row>
    <x:row r="321" spans="1:17">
      <x:c r="A321" s="1" t="s">
        <x:v>20</x:v>
      </x:c>
      <x:c r="B321" s="2" t="s">
        <x:v>20</x:v>
      </x:c>
      <x:c r="C321" s="2" t="s">
        <x:v>20</x:v>
      </x:c>
      <x:c r="D321" s="1" t="s">
        <x:v>20</x:v>
      </x:c>
      <x:c r="E321" s="1" t="s">
        <x:v>27</x:v>
      </x:c>
      <x:c r="F321" s="1" t="s">
        <x:v>20</x:v>
      </x:c>
      <x:c r="G321" s="1" t="s">
        <x:v>20</x:v>
      </x:c>
      <x:c r="H321" s="1" t="s">
        <x:v>20</x:v>
      </x:c>
      <x:c r="I321" s="1" t="s">
        <x:v>20</x:v>
      </x:c>
      <x:c r="J321" s="1" t="s">
        <x:v>20</x:v>
      </x:c>
      <x:c r="K321" s="1" t="s">
        <x:v>20</x:v>
      </x:c>
      <x:c r="L321" s="1" t="s">
        <x:v>20</x:v>
      </x:c>
      <x:c r="M321" s="1" t="s">
        <x:v>20</x:v>
      </x:c>
      <x:c r="N321" s="1" t="s">
        <x:v>20</x:v>
      </x:c>
      <x:c r="O321" s="1" t="s">
        <x:v>20</x:v>
      </x:c>
      <x:c r="P321" s="1" t="s">
        <x:v>20</x:v>
      </x:c>
      <x:c r="Q321" s="1" t="s">
        <x:v>20</x:v>
      </x:c>
    </x:row>
    <x:row r="322" spans="1:17">
      <x:c r="A322" s="1" t="s">
        <x:v>20</x:v>
      </x:c>
      <x:c r="B322" s="2" t="s">
        <x:v>20</x:v>
      </x:c>
      <x:c r="C322" s="2" t="s">
        <x:v>20</x:v>
      </x:c>
      <x:c r="D322" s="1" t="s">
        <x:v>20</x:v>
      </x:c>
      <x:c r="E322" s="1" t="s">
        <x:v>28</x:v>
      </x:c>
      <x:c r="F322" s="1" t="s">
        <x:v>20</x:v>
      </x:c>
      <x:c r="G322" s="1" t="s">
        <x:v>20</x:v>
      </x:c>
      <x:c r="H322" s="1" t="s">
        <x:v>29</x:v>
      </x:c>
      <x:c r="I322" s="1" t="s">
        <x:v>20</x:v>
      </x:c>
      <x:c r="J322" s="1" t="s">
        <x:v>20</x:v>
      </x:c>
      <x:c r="K322" s="1" t="s">
        <x:v>20</x:v>
      </x:c>
      <x:c r="L322" s="1" t="s">
        <x:v>20</x:v>
      </x:c>
      <x:c r="M322" s="1" t="s">
        <x:v>20</x:v>
      </x:c>
      <x:c r="N322" s="1" t="s">
        <x:v>20</x:v>
      </x:c>
      <x:c r="O322" s="1" t="s">
        <x:v>20</x:v>
      </x:c>
      <x:c r="P322" s="1" t="s">
        <x:v>20</x:v>
      </x:c>
      <x:c r="Q322" s="1" t="s">
        <x:v>20</x:v>
      </x:c>
    </x:row>
    <x:row r="323" spans="1:17">
      <x:c r="A323" s="1" t="s">
        <x:v>20</x:v>
      </x:c>
      <x:c r="B323" s="2" t="s">
        <x:v>20</x:v>
      </x:c>
      <x:c r="C323" s="2" t="s">
        <x:v>20</x:v>
      </x:c>
      <x:c r="D323" s="1" t="s">
        <x:v>20</x:v>
      </x:c>
      <x:c r="E323" s="1" t="s">
        <x:v>30</x:v>
      </x:c>
      <x:c r="F323" s="1" t="s">
        <x:v>20</x:v>
      </x:c>
      <x:c r="G323" s="1" t="s">
        <x:v>20</x:v>
      </x:c>
      <x:c r="H323" s="1" t="s">
        <x:v>31</x:v>
      </x:c>
      <x:c r="I323" s="1" t="s">
        <x:v>20</x:v>
      </x:c>
      <x:c r="J323" s="1" t="s">
        <x:v>20</x:v>
      </x:c>
      <x:c r="K323" s="1" t="s">
        <x:v>20</x:v>
      </x:c>
      <x:c r="L323" s="1" t="s">
        <x:v>20</x:v>
      </x:c>
      <x:c r="M323" s="1" t="s">
        <x:v>20</x:v>
      </x:c>
      <x:c r="N323" s="1" t="s">
        <x:v>20</x:v>
      </x:c>
      <x:c r="O323" s="1" t="s">
        <x:v>20</x:v>
      </x:c>
      <x:c r="P323" s="1" t="s">
        <x:v>20</x:v>
      </x:c>
      <x:c r="Q323" s="1" t="s">
        <x:v>20</x:v>
      </x:c>
    </x:row>
    <x:row r="324" spans="1:17">
      <x:c r="A324" s="1" t="s">
        <x:v>20</x:v>
      </x:c>
      <x:c r="B324" s="2" t="s">
        <x:v>20</x:v>
      </x:c>
      <x:c r="C324" s="2" t="s">
        <x:v>20</x:v>
      </x:c>
      <x:c r="D324" s="1" t="s">
        <x:v>20</x:v>
      </x:c>
      <x:c r="E324" s="1" t="s">
        <x:v>20</x:v>
      </x:c>
      <x:c r="F324" s="1" t="s">
        <x:v>184</x:v>
      </x:c>
      <x:c r="G324" s="1" t="s">
        <x:v>20</x:v>
      </x:c>
      <x:c r="H324" s="1" t="s">
        <x:v>185</x:v>
      </x:c>
      <x:c r="I324" s="1" t="s">
        <x:v>20</x:v>
      </x:c>
      <x:c r="J324" s="1" t="s">
        <x:v>20</x:v>
      </x:c>
      <x:c r="K324" s="1" t="s">
        <x:v>20</x:v>
      </x:c>
      <x:c r="L324" s="1" t="s">
        <x:v>20</x:v>
      </x:c>
      <x:c r="M324" s="1" t="s">
        <x:v>20</x:v>
      </x:c>
      <x:c r="N324" s="1" t="s">
        <x:v>20</x:v>
      </x:c>
      <x:c r="O324" s="1" t="s">
        <x:v>20</x:v>
      </x:c>
      <x:c r="P324" s="1" t="s">
        <x:v>20</x:v>
      </x:c>
      <x:c r="Q324" s="1" t="s">
        <x:v>20</x:v>
      </x:c>
    </x:row>
    <x:row r="325" spans="1:17">
      <x:c r="A325" s="1" t="s">
        <x:v>20</x:v>
      </x:c>
      <x:c r="B325" s="2" t="s">
        <x:v>20</x:v>
      </x:c>
      <x:c r="C325" s="2" t="s">
        <x:v>20</x:v>
      </x:c>
      <x:c r="D325" s="1" t="s">
        <x:v>20</x:v>
      </x:c>
      <x:c r="E325" s="1" t="s">
        <x:v>20</x:v>
      </x:c>
      <x:c r="F325" s="1" t="s">
        <x:v>186</x:v>
      </x:c>
      <x:c r="G325" s="1" t="s">
        <x:v>20</x:v>
      </x:c>
      <x:c r="H325" s="1" t="s">
        <x:v>187</x:v>
      </x:c>
      <x:c r="I325" s="1" t="s">
        <x:v>20</x:v>
      </x:c>
      <x:c r="J325" s="1" t="s">
        <x:v>20</x:v>
      </x:c>
      <x:c r="K325" s="1" t="s">
        <x:v>20</x:v>
      </x:c>
      <x:c r="L325" s="1" t="s">
        <x:v>20</x:v>
      </x:c>
      <x:c r="M325" s="1" t="s">
        <x:v>20</x:v>
      </x:c>
      <x:c r="N325" s="1" t="s">
        <x:v>20</x:v>
      </x:c>
      <x:c r="O325" s="1" t="s">
        <x:v>20</x:v>
      </x:c>
      <x:c r="P325" s="1" t="s">
        <x:v>20</x:v>
      </x:c>
      <x:c r="Q32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