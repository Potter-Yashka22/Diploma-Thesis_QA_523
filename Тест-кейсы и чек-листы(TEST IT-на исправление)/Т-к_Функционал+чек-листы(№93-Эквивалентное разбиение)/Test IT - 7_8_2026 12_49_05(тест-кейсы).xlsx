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65ddaf71349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7b4b8f967d4b6f81dcf9d31db1c9d6.psmdcp" Id="Rcb4348ad0efd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2" i="1"/>
  <x:c r="C21" i="1"/>
  <x:c r="C28" i="1"/>
  <x:c r="C34" i="1"/>
  <x:c r="C40" i="1"/>
  <x:c r="C46" i="1"/>
  <x:c r="C57" i="1"/>
  <x:c r="C68" i="1"/>
  <x:c r="C80" i="1"/>
  <x:c r="C87" i="1"/>
  <x:c r="C96" i="1"/>
  <x:c r="C105" i="1"/>
  <x:c r="C114" i="1"/>
  <x:c r="C120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<x:sst xmlns:x="http://schemas.openxmlformats.org/spreadsheetml/2006/main">
  <x:si>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</x:si>
  <x:si>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</x:si>
  <x:si>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</x:si>
  <x:si>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</x:si>
  <x:si>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</x:si>
  <x:si>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</x:si>
  <x:si>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</x:si>
  <x:si>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</x:si>
  <x:si>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</x:si>
  <x:si>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</x:si>
  <x:si>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</x:si>
  <x:si>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</x:si>
  <x:si>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</x:si>
  <x:si>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</x:si>
  <x:si>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</x:si>
  <x:si>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</x:si>
  <x:si>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</x:si>
  <x:si>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126</x:t>
  </x:si>
  <x:si>
    <x:t>Дипломный проект_ACADEMY_TOP -&gt; Кроссбраузерное тестирование  сайта https://steiks.ru/</x:t>
  </x:si>
  <x:si>
    <x:t>Нет</x:t>
  </x:si>
  <x:si>
    <x:t/>
  </x:si>
  <x:si>
    <x:t>Высокий</x:t>
  </x:si>
  <x:si>
    <x:t>Готов</x:t>
  </x:si>
  <x:si>
    <x:t>6/10/2026 15:56:05</x:t>
  </x:si>
  <x:si>
    <x:t>Андрей Алексутин</x:t>
  </x:si>
  <x:si>
    <x:t>0h 10m 0s</x:t>
  </x:si>
  <x:si>
    <x:t>тест-кейсы/кроссбраузерное</x:t>
  </x:si>
  <x:si>
    <x:t>Открыт сайт https://steiks.ru/ в браузерах Mozilla, Edge, Chrome, Яндекс</x:t>
  </x:si>
  <x:si>
    <x:t>Очищен кэш и файлы cookie в тестируемых браузерах перед началом сессии.</x:t>
  </x:si>
  <x:si>
    <x:t>На устройствах установлены актуальные версии браузеров</x:t>
  </x:si>
  <x:si>
    <x:t>Отключены расширения, которые могут влиять на отображение страниц</x:t>
  </x:si>
  <x:si>
    <x:t>Визуально проверить шапку (Header)</x:t>
  </x:si>
  <x:si>
    <x:t>Меню, логотип, контакты и иконки расположены ровно, не съезжают, при наведении курсора на элемент в левом нижнем углу экрана (в строке состояния браузера) отображается корректный целевой URL-адрес ссылки (https://steiks.ru/....).»</x:t>
  </x:si>
  <x:si>
    <x:t>Кликнуть на любой элемент-ссылку для перехода</x:t>
  </x:si>
  <x:si>
    <x:t>Происходит переход на  страницу (или вкладку), согласно названию элемента/ссылки</x:t>
  </x:si>
  <x:si>
    <x:t>Прокрутить страницу вниз</x:t>
  </x:si>
  <x:si>
    <x:t>Подвал (Footer) отображается корректно, элементы не смещены</x:t>
  </x:si>
  <x:si>
    <x:t>Визуально проверить подвал (Footer)</x:t>
  </x:si>
  <x:si>
    <x:t>Контакты, ссылки, иконки соцсетей расположены ровно, не перекрывают друг друга</x:t>
  </x:si>
  <x:si>
    <x:t>Кликнуть по ссылкам в подвале</x:t>
  </x:si>
  <x:si>
    <x:t>Каждая ссылка ведет на соответствующую страницу (не 404)</x:t>
  </x:si>
  <x:si>
    <x:t>127</x:t>
  </x:si>
  <x:si>
    <x:t>6/10/2026 16:11:49</x:t>
  </x:si>
  <x:si>
    <x:t>Перейти на страницу, где есть форма ввода (например, «Забронировать стол», «Оставить отзыв» или форма подписки)</x:t>
  </x:si>
  <x:si>
    <x:t>Форма отображается полностью</x:t>
  </x:si>
  <x:si>
    <x:t>Проверить визуальное отображение пустых полей ввода («Имя», «Телефон», «Email», «Количество приборов» и др.).</x:t>
  </x:si>
  <x:si>
    <x:t>Поля отображаются корректно. Текст-подсказка (плейсхолдер) внутри каждого поля выровнен, не прижат к краям и полностью виден.</x:t>
  </x:si>
  <x:si>
    <x:t>Ввести валидный текст в каждое доступное поле ввода.</x:t>
  </x:si>
  <x:si>
    <x:t>Текст отображается читаемо, шрифт корректный, вводимые символы не выходят за границы рамки поля.</x:t>
  </x:si>
  <x:si>
    <x:t>Изменить размер окна браузера (ресайз) или переключить разрешение экрана.</x:t>
  </x:si>
  <x:si>
    <x:t>Вёрстка адаптивна: поля ввода, текст внутри них и плейсхолдеры не съезжают и не обрезаются.</x:t>
  </x:si>
  <x:si>
    <x:t>128</x:t>
  </x:si>
  <x:si>
    <x:t>6/10/2026 16:29:00</x:t>
  </x:si>
  <x:si>
    <x:t>Найти главный баннер/слайдер на главной странице</x:t>
  </x:si>
  <x:si>
    <x:t>Баннер/слайдер отображается корректно во всех браузерах, видно изображение и текст</x:t>
  </x:si>
  <x:si>
    <x:t>Проверить кнопки навигации (если есть) баннера, возможность переключения слайдов (если присутствуют),что при переключении слайда нет зависаний или дерганий</x:t>
  </x:si>
  <x:si>
    <x:t>Картинка четкая, не пикселизирована, нет битых ссылок, переключение слайдов работает корректно, анимация плавная, стрелки прокрутки кликабельны</x:t>
  </x:si>
  <x:si>
    <x:t>129</x:t>
  </x:si>
  <x:si>
    <x:t>6/11/2026 07:38:55</x:t>
  </x:si>
  <x:si>
    <x:t>Осмотреть главную страницу,
Проверить заголовки (h1, h2, h3),
Проверить текст в карточках товаров,
Проверить меню и кнопки,
Проверить текст в футере.</x:t>
  </x:si>
  <x:si>
    <x:t>Текст везде читаемый, шрифт единообразный,
Заголовки имеют дизайнерский шрифт (не стандартный системный),
Текст не сливается с фоном, нет «кубиков» (вместо букв),
Шрифт в меню и кнопках читаемый, не обрезается,
Контакты, ссылки, копирайт отображаются корректно.</x:t>
  </x:si>
  <x:si>
    <x:t>130</x:t>
  </x:si>
  <x:si>
    <x:t>6/11/2026 07:49:18</x:t>
  </x:si>
  <x:si>
    <x:t>Открыть раздел «Подарочные карты»
Визуально проверить выравнивание карточек
Проверить кнопки «Добавить» / «В корзину»
Изменить размер окна браузера
Проверить карточки в мобильной версии</x:t>
  </x:si>
  <x:si>
    <x:t>Карточки товаров отображаются
Карточки выстроены ровными рядами и столбцами
Кнопки находятся на одной горизонтальной линии у всех карточек
Сетка перестраивается корректно (адаптивность)
Карточки не наезжают друг на друга</x:t>
  </x:si>
  <x:si>
    <x:t>131</x:t>
  </x:si>
  <x:si>
    <x:t>6/11/2026 08:02:02</x:t>
  </x:si>
  <x:si>
    <x:t>Перейти на вкладку заказа товара
Навести курсор на карточку товара,
Навести курсор на кнопку «Добавить»
Навести курсор на ссылку в футере
Навести курсор на иконку соцсети</x:t>
  </x:si>
  <x:si>
    <x:t>Появляется подсветка / тень / изменение фона
кнопка меняет цвет или появляется эффект наведения
ссылка меняет цвет или подчеркивается
иконка меняет цвет или масштаб.
Во всех браузерах поведение одинаковое.</x:t>
  </x:si>
  <x:si>
    <x:t>132</x:t>
  </x:si>
  <x:si>
    <x:t>6/11/2026 08:12:24</x:t>
  </x:si>
  <x:si>
    <x:t>Перейти в раздел «Подарочные карты» (где есть сортировка)</x:t>
  </x:si>
  <x:si>
    <x:t>Найти блок сортировки (например, «Сначала дешевле», «Сначала дороже»)</x:t>
  </x:si>
  <x:si>
    <x:t>Блок отображается</x:t>
  </x:si>
  <x:si>
    <x:t>Кликнуть по выпадающему списку</x:t>
  </x:si>
  <x:si>
    <x:t>Список раскрывается</x:t>
  </x:si>
  <x:si>
    <x:t>Проверить, что список открывается поверх других элементов</x:t>
  </x:si>
  <x:si>
    <x:t>Выпадающий список не перекрывается, виден полностью</x:t>
  </x:si>
  <x:si>
    <x:t>Проверить текст внутри пунктов списка</x:t>
  </x:si>
  <x:si>
    <x:t>Текст не обрезается, виден целиком</x:t>
  </x:si>
  <x:si>
    <x:t>Выбрать любой пункт сортировки</x:t>
  </x:si>
  <x:si>
    <x:t>Список закрывается
Список открывается поверх остальных элементов (z-index корректен)
Выбранный пункт применяется к списку товаров</x:t>
  </x:si>
  <x:si>
    <x:t>133</x:t>
  </x:si>
  <x:si>
    <x:t>6/11/2026 08:18:51</x:t>
  </x:si>
  <x:si>
    <x:t>Авторизоваться</x:t>
  </x:si>
  <x:si>
    <x:t>Добавить товар в корзину</x:t>
  </x:si>
  <x:si>
    <x:t>Перейти в корзину</x:t>
  </x:si>
  <x:si>
    <x:t>Проверить в модальном окне корзины интерактивность кнопок и корректное отображение суммы и количества добавленного товара</x:t>
  </x:si>
  <x:si>
    <x:t>Товар появился в корзине, счетчик в шапке сайта и в карточке товара отображает корректные значения</x:t>
  </x:si>
  <x:si>
    <x:t>В модальном окне корзины нажать кнопку «Оформить»</x:t>
  </x:si>
  <x:si>
    <x:t>Происходит переход на страницу оформления заказа</x:t>
  </x:si>
  <x:si>
    <x:t>Прокрутить страницу оформления заказа до конца</x:t>
  </x:si>
  <x:si>
    <x:t>Кнопка «Оплатить заказ» видна</x:t>
  </x:si>
  <x:si>
    <x:t>Проверить, что кнопка заметна
Проверить, что кнопка активна (кликабельна)</x:t>
  </x:si>
  <x:si>
    <x:t>Контрастная, выделяется на фоне страницы
Кнопка меняет фон/цвет/размер при наведении</x:t>
  </x:si>
  <x:si>
    <x:t>Нажать на кнопку «Оплатить заказ»</x:t>
  </x:si>
  <x:si>
    <x:t>Происходит перенаправление на платежную систему</x:t>
  </x:si>
  <x:si>
    <x:t>135</x:t>
  </x:si>
  <x:si>
    <x:t>6/11/2026 08:43:38</x:t>
  </x:si>
  <x:si>
    <x:t>Открыть любое модальное окно («Быстрый просмотр» товара, «Заказать звонок»)</x:t>
  </x:si>
  <x:si>
    <x:t>Окно открывается</x:t>
  </x:si>
  <x:si>
    <x:t>Проверить, что окно центрируется по экрану</x:t>
  </x:si>
  <x:si>
    <x:t>Окно расположено по центру, не прижато к краям</x:t>
  </x:si>
  <x:si>
    <x:t>Проверить, что задний фон затемняется</x:t>
  </x:si>
  <x:si>
    <x:t>Фон становится темным / полупрозрачным</x:t>
  </x:si>
  <x:si>
    <x:t>Проверить, что контент внутри окна не обрезается</x:t>
  </x:si>
  <x:si>
    <x:t>Текст и элементы видны полностью</x:t>
  </x:si>
  <x:si>
    <x:t>Нажать на крестик (закрыть)</x:t>
  </x:si>
  <x:si>
    <x:t>Окно закрывается, затемнение убирается</x:t>
  </x:si>
  <x:si>
    <x:t>Открыть окно заново и нажать вне окна (на затемненную область)</x:t>
  </x:si>
  <x:si>
    <x:t>Окно закрывается (стандартное поведение)
Также работает на всех браузерах</x:t>
  </x:si>
  <x:si>
    <x:t>134</x:t>
  </x:si>
  <x:si>
    <x:t>6/11/2026 08:42:50</x:t>
  </x:si>
  <x:si>
    <x:t>Посмотреть на вкладку браузера</x:t>
  </x:si>
  <x:si>
    <x:t>Фавиконка (иконка) отображается четко, без пикселизации</x:t>
  </x:si>
  <x:si>
    <x:t>Проверить текст заголовка вкладки (Title)</x:t>
  </x:si>
  <x:si>
    <x:t>Текст читаемый, не превращен в кодированные символы  и т.п.</x:t>
  </x:si>
  <x:si>
    <x:t>Переключиться между разными страницами сайта</x:t>
  </x:si>
  <x:si>
    <x:t>Title меняется соответственно странице (например, «Подарочные карты — СТЕЙКС»)</x:t>
  </x:si>
  <x:si>
    <x:t>Обновить страницу</x:t>
  </x:si>
  <x:si>
    <x:t>Фавиконка не пропадает</x:t>
  </x:si>
  <x:si>
    <x:t>136</x:t>
  </x:si>
  <x:si>
    <x:t>6/11/2026 08:56:18</x:t>
  </x:si>
  <x:si>
    <x:t>В адресной строке ввести несуществующий URL: https://steiks.ru/blabla123</x:t>
  </x:si>
  <x:si>
    <x:t>Открывается страница 404</x:t>
  </x:si>
  <x:si>
    <x:t>Проверить, что страница 404 брендированная (в стиле сайта)</x:t>
  </x:si>
  <x:si>
    <x:t>Дизайн страницы соответствует сайту (не стандартная белая страница браузера)</x:t>
  </x:si>
  <x:si>
    <x:t>Проверить, что верстка страницы не сломана</x:t>
  </x:si>
  <x:si>
    <x:t>Нет наложений, смещений, битых изображений</x:t>
  </x:si>
  <x:si>
    <x:t>Проверить наличие кнопки «На главную»</x:t>
  </x:si>
  <x:si>
    <x:t>Кнопка присутствует</x:t>
  </x:si>
  <x:si>
    <x:t>Нажать на кнопку «На главную»</x:t>
  </x:si>
  <x:si>
    <x:t>Происходит переход на главную страницу сайта</x:t>
  </x:si>
  <x:si>
    <x:t>Проверить другие варианты несуществующих URL (/404, /wrong-page)</x:t>
  </x:si>
  <x:si>
    <x:t>Поведение одинаковое</x:t>
  </x:si>
  <x:si>
    <x:t>137</x:t>
  </x:si>
  <x:si>
    <x:t>6/11/2026 09:14:17</x:t>
  </x:si>
  <x:si>
    <x:t>Мышь не используется (навигация только с клавиатуры)</x:t>
  </x:si>
  <x:si>
    <x:t>Нажать клавишу Tab несколько раз</x:t>
  </x:si>
  <x:si>
    <x:t>Фокус переключается между интерактивными элементами (ссылки, кнопки, поля ввода)</x:t>
  </x:si>
  <x:si>
    <x:t>Проверить, что вокруг элемента с фокусом появляется рамка фокуса</x:t>
  </x:si>
  <x:si>
    <x:t>Рамка видна (обычно синяя или пунктирная)</x:t>
  </x:si>
  <x:si>
    <x:t>Проверить, что рамка фокуса видна на всех элементах</x:t>
  </x:si>
  <x:si>
    <x:t>Кнопки, ссылки, поля ввода, чекбоксы — все имеют индикатор фокуса</x:t>
  </x:si>
  <x:si>
    <x:t>Нажать Enter на элементе с фокусом</x:t>
  </x:si>
  <x:si>
    <x:t>Элемент активируется (кнопка нажимается, ссылка открывается)</x:t>
  </x:si>
  <x:si>
    <x:t>Проверить, что рамка фокуса не пропадает после клика</x:t>
  </x:si>
  <x:si>
    <x:t>После клика по элементу, рамка фокуса начинает свою работу с начала</x:t>
  </x:si>
  <x:si>
    <x:t>138</x:t>
  </x:si>
  <x:si>
    <x:t>6/11/2026 09:26:21</x:t>
  </x:si>
  <x:si>
    <x:t>Медленно прокрутить страницу вниз</x:t>
  </x:si>
  <x:si>
    <x:t>Контент плавно скроллится, не дергается</x:t>
  </x:si>
  <x:si>
    <x:t>Быстро прокрутить страницу вниз</x:t>
  </x:si>
  <x:si>
    <x:t>Нет рывков, скролл инерционный (плавный)</x:t>
  </x:si>
  <x:si>
    <x:t>Прокрутить страницу вверх-вниз несколько раз</x:t>
  </x:si>
  <x:si>
    <x:t>Скролл плавный, без зависаний и рывков</x:t>
  </x:si>
  <x:si>
    <x:t>Проверить, что горизонтальная полоса прокрутки отсутствует</x:t>
  </x:si>
  <x:si>
    <x:t>Нет возможности скроллить влево-вправо, страница не качается</x:t>
  </x:si>
  <x:si>
    <x:t>Проверить, что контент не перекрывается вертикальной полосой прокрутки</x:t>
  </x:si>
  <x:si>
    <x:t>Полоса прокрутки не перекрывает важные элементы (кнопки, текст</x:t>
  </x:si>
  <x:si>
    <x:t>Проверить при открытом модальном окне</x:t>
  </x:si>
  <x:si>
    <x:t>Скролл страницы блокируется (скроллится только окно)</x:t>
  </x:si>
  <x:si>
    <x:t>139</x:t>
  </x:si>
  <x:si>
    <x:t>6/11/2026 09:31:46</x:t>
  </x:si>
  <x:si>
    <x:t>Стабильное интернет-соединение</x:t>
  </x:si>
  <x:si>
    <x:t>Обновить страницу с сайтом https://steiks.ru/ и засечь время</x:t>
  </x:si>
  <x:si>
    <x:t>Страница загружается за до 3 секунд</x:t>
  </x:si>
  <x:si>
    <x:t>Проверить загрузку в разных браузерах</x:t>
  </x:si>
  <x:si>
    <x:t>Время загрузки примерно одинаковое
При повторном визите — загрузка быстрее</x:t>
  </x:si>
  <x:si>
    <x:t>140</x:t>
  </x:si>
  <x:si>
    <x:t>6/11/2026 09:36:09</x:t>
  </x:si>
  <x:si>
    <x:t>Открыть главную страницу</x:t>
  </x:si>
  <x:si>
    <x:t>Все картинки загружаются полностью</x:t>
  </x:si>
  <x:si>
    <x:t>Засечь время появления первых картинок с помощью DevTools</x:t>
  </x:si>
  <x:si>
    <x:t>Картинки начинают появляться через 0.5-1 секунду</x:t>
  </x:si>
  <x:si>
    <x:t>Проверить, что картинки загружаются без битых ссылок</x:t>
  </x:si>
  <x:si>
    <x:t>Нет иконок "битого изображения"</x:t>
  </x:si>
  <x:si>
    <x:t>Проверить lazy-loading (если есть)</x:t>
  </x:si>
  <x:si>
    <x:t>Картинки подгружаются по мере скролла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</x:si>
</x:sst>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27" totalsRowShown="0">
  <x:autoFilter ref="A1:Q127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27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5" width="18.139196" style="1" customWidth="1"/>
    <x:col min="16" max="16" width="16.139196" style="1" customWidth="1"/>
    <x:col min="17" max="17" width="28.424911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HYPERLINK("https://team-oisq.testit.software/projects/1/tests/126", "Кроссбраузерное тестирование : проверка шапки и подвала (Header/Footer)")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29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30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31</x:v>
      </x:c>
      <x:c r="G7" s="1" t="s">
        <x:v>20</x:v>
      </x:c>
      <x:c r="H7" s="1" t="s">
        <x:v>32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33</x:v>
      </x:c>
      <x:c r="G8" s="1" t="s">
        <x:v>20</x:v>
      </x:c>
      <x:c r="H8" s="1" t="s">
        <x:v>34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35</x:v>
      </x:c>
      <x:c r="G9" s="1" t="s">
        <x:v>20</x:v>
      </x:c>
      <x:c r="H9" s="1" t="s">
        <x:v>36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37</x:v>
      </x:c>
      <x:c r="G10" s="1" t="s">
        <x:v>20</x:v>
      </x:c>
      <x:c r="H10" s="1" t="s">
        <x:v>38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39</x:v>
      </x:c>
      <x:c r="G11" s="1" t="s">
        <x:v>20</x:v>
      </x:c>
      <x:c r="H11" s="1" t="s">
        <x:v>40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41</x:v>
      </x:c>
      <x:c r="B12" s="2" t="s">
        <x:v>18</x:v>
      </x:c>
      <x:c r="C12" s="2">
        <x:f>HYPERLINK("https://team-oisq.testit.software/projects/1/tests/127", "Кроссбраузерное тестирование : проверка корректного отображения полей ввода (имя, телефон, email) в разных браузерах")</x:f>
      </x:c>
      <x:c r="D12" s="1" t="s">
        <x:v>19</x:v>
      </x:c>
      <x:c r="E12" s="1" t="s">
        <x:v>20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21</x:v>
      </x:c>
      <x:c r="M12" s="1" t="s">
        <x:v>22</x:v>
      </x:c>
      <x:c r="N12" s="1" t="s">
        <x:v>42</x:v>
      </x:c>
      <x:c r="O12" s="1" t="s">
        <x:v>24</x:v>
      </x:c>
      <x:c r="P12" s="1" t="s">
        <x:v>25</x:v>
      </x:c>
      <x:c r="Q12" s="1" t="s">
        <x:v>26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27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28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29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30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43</x:v>
      </x:c>
      <x:c r="G17" s="1" t="s">
        <x:v>20</x:v>
      </x:c>
      <x:c r="H17" s="1" t="s">
        <x:v>44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45</x:v>
      </x:c>
      <x:c r="G18" s="1" t="s">
        <x:v>20</x:v>
      </x:c>
      <x:c r="H18" s="1" t="s">
        <x:v>46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47</x:v>
      </x:c>
      <x:c r="G19" s="1" t="s">
        <x:v>20</x:v>
      </x:c>
      <x:c r="H19" s="1" t="s">
        <x:v>48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49</x:v>
      </x:c>
      <x:c r="G20" s="1" t="s">
        <x:v>20</x:v>
      </x:c>
      <x:c r="H20" s="1" t="s">
        <x:v>50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51</x:v>
      </x:c>
      <x:c r="B21" s="2" t="s">
        <x:v>18</x:v>
      </x:c>
      <x:c r="C21" s="2">
        <x:f>HYPERLINK("https://team-oisq.testit.software/projects/1/tests/128", "Кроссбраузерное тестирование : проверка главного баннера/слайдера")</x:f>
      </x:c>
      <x:c r="D21" s="1" t="s">
        <x:v>19</x:v>
      </x:c>
      <x:c r="E21" s="1" t="s">
        <x:v>20</x:v>
      </x:c>
      <x:c r="F21" s="1" t="s">
        <x:v>20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21</x:v>
      </x:c>
      <x:c r="M21" s="1" t="s">
        <x:v>22</x:v>
      </x:c>
      <x:c r="N21" s="1" t="s">
        <x:v>52</x:v>
      </x:c>
      <x:c r="O21" s="1" t="s">
        <x:v>24</x:v>
      </x:c>
      <x:c r="P21" s="1" t="s">
        <x:v>25</x:v>
      </x:c>
      <x:c r="Q21" s="1" t="s">
        <x:v>26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27</x:v>
      </x:c>
      <x:c r="F22" s="1" t="s">
        <x:v>20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28</x:v>
      </x:c>
      <x:c r="F23" s="1" t="s">
        <x:v>20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29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30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53</x:v>
      </x:c>
      <x:c r="G26" s="1" t="s">
        <x:v>20</x:v>
      </x:c>
      <x:c r="H26" s="1" t="s">
        <x:v>54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55</x:v>
      </x:c>
      <x:c r="G27" s="1" t="s">
        <x:v>20</x:v>
      </x:c>
      <x:c r="H27" s="1" t="s">
        <x:v>56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57</x:v>
      </x:c>
      <x:c r="B28" s="2" t="s">
        <x:v>18</x:v>
      </x:c>
      <x:c r="C28" s="2">
        <x:f>HYPERLINK("https://team-oisq.testit.software/projects/1/tests/129", "Кроссбраузерное тестирование : проверка корректного отображения шрифтов на сайте")</x:f>
      </x:c>
      <x:c r="D28" s="1" t="s">
        <x:v>19</x:v>
      </x:c>
      <x:c r="E28" s="1" t="s">
        <x:v>20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21</x:v>
      </x:c>
      <x:c r="M28" s="1" t="s">
        <x:v>22</x:v>
      </x:c>
      <x:c r="N28" s="1" t="s">
        <x:v>58</x:v>
      </x:c>
      <x:c r="O28" s="1" t="s">
        <x:v>24</x:v>
      </x:c>
      <x:c r="P28" s="1" t="s">
        <x:v>25</x:v>
      </x:c>
      <x:c r="Q28" s="1" t="s">
        <x:v>26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27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28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29</x:v>
      </x:c>
      <x:c r="F31" s="1" t="s">
        <x:v>20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30</x:v>
      </x:c>
      <x:c r="F32" s="1" t="s">
        <x:v>20</x:v>
      </x:c>
      <x:c r="G32" s="1" t="s">
        <x:v>20</x:v>
      </x:c>
      <x:c r="H32" s="1" t="s">
        <x:v>20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2" t="s">
        <x:v>59</x:v>
      </x:c>
      <x:c r="G33" s="1" t="s">
        <x:v>20</x:v>
      </x:c>
      <x:c r="H33" s="2" t="s">
        <x:v>60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61</x:v>
      </x:c>
      <x:c r="B34" s="2" t="s">
        <x:v>18</x:v>
      </x:c>
      <x:c r="C34" s="2">
        <x:f>HYPERLINK("https://team-oisq.testit.software/projects/1/tests/130", "Кроссбраузерное тестирование : проверка ровности сетки карточек подарочных карт")</x:f>
      </x:c>
      <x:c r="D34" s="1" t="s">
        <x:v>19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21</x:v>
      </x:c>
      <x:c r="M34" s="1" t="s">
        <x:v>22</x:v>
      </x:c>
      <x:c r="N34" s="1" t="s">
        <x:v>62</x:v>
      </x:c>
      <x:c r="O34" s="1" t="s">
        <x:v>24</x:v>
      </x:c>
      <x:c r="P34" s="1" t="s">
        <x:v>25</x:v>
      </x:c>
      <x:c r="Q34" s="1" t="s">
        <x:v>26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27</x:v>
      </x:c>
      <x:c r="F35" s="1" t="s">
        <x:v>20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28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29</x:v>
      </x:c>
      <x:c r="F37" s="1" t="s">
        <x:v>20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30</x:v>
      </x:c>
      <x:c r="F38" s="1" t="s">
        <x:v>20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2" t="s">
        <x:v>63</x:v>
      </x:c>
      <x:c r="G39" s="1" t="s">
        <x:v>20</x:v>
      </x:c>
      <x:c r="H39" s="2" t="s">
        <x:v>64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65</x:v>
      </x:c>
      <x:c r="B40" s="2" t="s">
        <x:v>18</x:v>
      </x:c>
      <x:c r="C40" s="2">
        <x:f>HYPERLINK("https://team-oisq.testit.software/projects/1/tests/131", "Кроссбраузерное тестирование : проверка визуальных эффектов при наведении курсора (hover)")</x:f>
      </x:c>
      <x:c r="D40" s="1" t="s">
        <x:v>19</x:v>
      </x:c>
      <x:c r="E40" s="1" t="s">
        <x:v>20</x:v>
      </x:c>
      <x:c r="F40" s="1" t="s">
        <x:v>20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21</x:v>
      </x:c>
      <x:c r="M40" s="1" t="s">
        <x:v>22</x:v>
      </x:c>
      <x:c r="N40" s="1" t="s">
        <x:v>66</x:v>
      </x:c>
      <x:c r="O40" s="1" t="s">
        <x:v>24</x:v>
      </x:c>
      <x:c r="P40" s="1" t="s">
        <x:v>25</x:v>
      </x:c>
      <x:c r="Q40" s="1" t="s">
        <x:v>26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27</x:v>
      </x:c>
      <x:c r="F41" s="1" t="s">
        <x:v>20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28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29</x:v>
      </x:c>
      <x:c r="F43" s="1" t="s">
        <x:v>20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30</x:v>
      </x:c>
      <x:c r="F44" s="1" t="s">
        <x:v>20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2" t="s">
        <x:v>67</x:v>
      </x:c>
      <x:c r="G45" s="1" t="s">
        <x:v>20</x:v>
      </x:c>
      <x:c r="H45" s="2" t="s">
        <x:v>68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69</x:v>
      </x:c>
      <x:c r="B46" s="2" t="s">
        <x:v>18</x:v>
      </x:c>
      <x:c r="C46" s="2">
        <x:f>HYPERLINK("https://team-oisq.testit.software/projects/1/tests/132", "Кроссбраузерное тестирование : проверка работы выпадающего меню сортировки")</x:f>
      </x:c>
      <x:c r="D46" s="1" t="s">
        <x:v>19</x:v>
      </x:c>
      <x:c r="E46" s="1" t="s">
        <x:v>20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21</x:v>
      </x:c>
      <x:c r="M46" s="1" t="s">
        <x:v>22</x:v>
      </x:c>
      <x:c r="N46" s="1" t="s">
        <x:v>70</x:v>
      </x:c>
      <x:c r="O46" s="1" t="s">
        <x:v>24</x:v>
      </x:c>
      <x:c r="P46" s="1" t="s">
        <x:v>25</x:v>
      </x:c>
      <x:c r="Q46" s="1" t="s">
        <x:v>26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27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28</x:v>
      </x:c>
      <x:c r="F48" s="1" t="s">
        <x:v>20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29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30</x:v>
      </x:c>
      <x:c r="F50" s="1" t="s">
        <x:v>20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71</x:v>
      </x:c>
      <x:c r="F51" s="1" t="s">
        <x:v>20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72</x:v>
      </x:c>
      <x:c r="G52" s="1" t="s">
        <x:v>20</x:v>
      </x:c>
      <x:c r="H52" s="1" t="s">
        <x:v>73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74</x:v>
      </x:c>
      <x:c r="G53" s="1" t="s">
        <x:v>20</x:v>
      </x:c>
      <x:c r="H53" s="1" t="s">
        <x:v>75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76</x:v>
      </x:c>
      <x:c r="G54" s="1" t="s">
        <x:v>20</x:v>
      </x:c>
      <x:c r="H54" s="1" t="s">
        <x:v>77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78</x:v>
      </x:c>
      <x:c r="G55" s="1" t="s">
        <x:v>20</x:v>
      </x:c>
      <x:c r="H55" s="1" t="s">
        <x:v>79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80</x:v>
      </x:c>
      <x:c r="G56" s="1" t="s">
        <x:v>20</x:v>
      </x:c>
      <x:c r="H56" s="2" t="s">
        <x:v>81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82</x:v>
      </x:c>
      <x:c r="B57" s="2" t="s">
        <x:v>18</x:v>
      </x:c>
      <x:c r="C57" s="2">
        <x:f>HYPERLINK("https://team-oisq.testit.software/projects/1/tests/133", "Кроссбраузерное тестирование : проверка отображения и доступности кнопки «Оформить заказ/Оплатить заказ»")</x:f>
      </x:c>
      <x:c r="D57" s="1" t="s">
        <x:v>19</x:v>
      </x:c>
      <x:c r="E57" s="1" t="s">
        <x:v>20</x:v>
      </x:c>
      <x:c r="F57" s="1" t="s">
        <x:v>20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21</x:v>
      </x:c>
      <x:c r="M57" s="1" t="s">
        <x:v>22</x:v>
      </x:c>
      <x:c r="N57" s="1" t="s">
        <x:v>83</x:v>
      </x:c>
      <x:c r="O57" s="1" t="s">
        <x:v>24</x:v>
      </x:c>
      <x:c r="P57" s="1" t="s">
        <x:v>25</x:v>
      </x:c>
      <x:c r="Q57" s="1" t="s">
        <x:v>26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27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28</x:v>
      </x:c>
      <x:c r="F59" s="1" t="s">
        <x:v>20</x:v>
      </x:c>
      <x:c r="G59" s="1" t="s">
        <x:v>20</x:v>
      </x:c>
      <x:c r="H59" s="1" t="s">
        <x:v>20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84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85</x:v>
      </x:c>
      <x:c r="F61" s="1" t="s">
        <x:v>20</x:v>
      </x:c>
      <x:c r="G61" s="1" t="s">
        <x:v>20</x:v>
      </x:c>
      <x:c r="H61" s="1" t="s">
        <x:v>20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86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87</x:v>
      </x:c>
      <x:c r="G63" s="1" t="s">
        <x:v>20</x:v>
      </x:c>
      <x:c r="H63" s="1" t="s">
        <x:v>88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89</x:v>
      </x:c>
      <x:c r="G64" s="1" t="s">
        <x:v>20</x:v>
      </x:c>
      <x:c r="H64" s="1" t="s">
        <x:v>90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91</x:v>
      </x:c>
      <x:c r="G65" s="1" t="s">
        <x:v>20</x:v>
      </x:c>
      <x:c r="H65" s="1" t="s">
        <x:v>92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2" t="s">
        <x:v>93</x:v>
      </x:c>
      <x:c r="G66" s="1" t="s">
        <x:v>20</x:v>
      </x:c>
      <x:c r="H66" s="2" t="s">
        <x:v>94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95</x:v>
      </x:c>
      <x:c r="G67" s="1" t="s">
        <x:v>20</x:v>
      </x:c>
      <x:c r="H67" s="1" t="s">
        <x:v>96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97</x:v>
      </x:c>
      <x:c r="B68" s="2" t="s">
        <x:v>18</x:v>
      </x:c>
      <x:c r="C68" s="2">
        <x:f>HYPERLINK("https://team-oisq.testit.software/projects/1/tests/135", "Кроссбраузерное тестирование: проверка работы модальных окон (быстрый просмотр, карты товаров, изменить адрес и др.)")</x:f>
      </x:c>
      <x:c r="D68" s="1" t="s">
        <x:v>19</x:v>
      </x:c>
      <x:c r="E68" s="1" t="s">
        <x:v>20</x:v>
      </x:c>
      <x:c r="F68" s="1" t="s">
        <x:v>20</x:v>
      </x:c>
      <x:c r="G68" s="1" t="s">
        <x:v>20</x:v>
      </x:c>
      <x:c r="H68" s="1" t="s">
        <x:v>20</x:v>
      </x:c>
      <x:c r="I68" s="1" t="s">
        <x:v>20</x:v>
      </x:c>
      <x:c r="J68" s="1" t="s">
        <x:v>20</x:v>
      </x:c>
      <x:c r="K68" s="1" t="s">
        <x:v>20</x:v>
      </x:c>
      <x:c r="L68" s="1" t="s">
        <x:v>21</x:v>
      </x:c>
      <x:c r="M68" s="1" t="s">
        <x:v>22</x:v>
      </x:c>
      <x:c r="N68" s="1" t="s">
        <x:v>98</x:v>
      </x:c>
      <x:c r="O68" s="1" t="s">
        <x:v>24</x:v>
      </x:c>
      <x:c r="P68" s="1" t="s">
        <x:v>25</x:v>
      </x:c>
      <x:c r="Q68" s="1" t="s">
        <x:v>26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27</x:v>
      </x:c>
      <x:c r="F69" s="1" t="s">
        <x:v>20</x:v>
      </x:c>
      <x:c r="G69" s="1" t="s">
        <x:v>20</x:v>
      </x:c>
      <x:c r="H69" s="1" t="s">
        <x:v>20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28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29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30</x:v>
      </x:c>
      <x:c r="F72" s="1" t="s">
        <x:v>20</x:v>
      </x:c>
      <x:c r="G72" s="1" t="s">
        <x:v>20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20</x:v>
      </x:c>
      <x:c r="G73" s="1" t="s">
        <x:v>20</x:v>
      </x:c>
      <x:c r="H73" s="1" t="s">
        <x:v>20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99</x:v>
      </x:c>
      <x:c r="G74" s="1" t="s">
        <x:v>20</x:v>
      </x:c>
      <x:c r="H74" s="1" t="s">
        <x:v>100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101</x:v>
      </x:c>
      <x:c r="G75" s="1" t="s">
        <x:v>20</x:v>
      </x:c>
      <x:c r="H75" s="1" t="s">
        <x:v>102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103</x:v>
      </x:c>
      <x:c r="G76" s="1" t="s">
        <x:v>20</x:v>
      </x:c>
      <x:c r="H76" s="1" t="s">
        <x:v>104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105</x:v>
      </x:c>
      <x:c r="G77" s="1" t="s">
        <x:v>20</x:v>
      </x:c>
      <x:c r="H77" s="1" t="s">
        <x:v>106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107</x:v>
      </x:c>
      <x:c r="G78" s="1" t="s">
        <x:v>20</x:v>
      </x:c>
      <x:c r="H78" s="1" t="s">
        <x:v>108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109</x:v>
      </x:c>
      <x:c r="G79" s="1" t="s">
        <x:v>20</x:v>
      </x:c>
      <x:c r="H79" s="2" t="s">
        <x:v>110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111</x:v>
      </x:c>
      <x:c r="B80" s="2" t="s">
        <x:v>18</x:v>
      </x:c>
      <x:c r="C80" s="2">
        <x:f>HYPERLINK("https://team-oisq.testit.software/projects/1/tests/134", "Кроссбраузерное тестирование: проверка отображения фавиконки и заголовка вкладки браузера")</x:f>
      </x:c>
      <x:c r="D80" s="1" t="s">
        <x:v>19</x:v>
      </x:c>
      <x:c r="E80" s="1" t="s">
        <x:v>20</x:v>
      </x:c>
      <x:c r="F80" s="1" t="s">
        <x:v>20</x:v>
      </x:c>
      <x:c r="G80" s="1" t="s">
        <x:v>20</x:v>
      </x:c>
      <x:c r="H80" s="1" t="s">
        <x:v>20</x:v>
      </x:c>
      <x:c r="I80" s="1" t="s">
        <x:v>20</x:v>
      </x:c>
      <x:c r="J80" s="1" t="s">
        <x:v>20</x:v>
      </x:c>
      <x:c r="K80" s="1" t="s">
        <x:v>20</x:v>
      </x:c>
      <x:c r="L80" s="1" t="s">
        <x:v>21</x:v>
      </x:c>
      <x:c r="M80" s="1" t="s">
        <x:v>22</x:v>
      </x:c>
      <x:c r="N80" s="1" t="s">
        <x:v>112</x:v>
      </x:c>
      <x:c r="O80" s="1" t="s">
        <x:v>24</x:v>
      </x:c>
      <x:c r="P80" s="1" t="s">
        <x:v>25</x:v>
      </x:c>
      <x:c r="Q80" s="1" t="s">
        <x:v>26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27</x:v>
      </x:c>
      <x:c r="F81" s="1" t="s">
        <x:v>20</x:v>
      </x:c>
      <x:c r="G81" s="1" t="s">
        <x:v>20</x:v>
      </x:c>
      <x:c r="H81" s="1" t="s">
        <x:v>20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28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113</x:v>
      </x:c>
      <x:c r="G83" s="1" t="s">
        <x:v>20</x:v>
      </x:c>
      <x:c r="H83" s="1" t="s">
        <x:v>114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115</x:v>
      </x:c>
      <x:c r="G84" s="1" t="s">
        <x:v>20</x:v>
      </x:c>
      <x:c r="H84" s="1" t="s">
        <x:v>116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117</x:v>
      </x:c>
      <x:c r="G85" s="1" t="s">
        <x:v>20</x:v>
      </x:c>
      <x:c r="H85" s="1" t="s">
        <x:v>118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119</x:v>
      </x:c>
      <x:c r="G86" s="1" t="s">
        <x:v>20</x:v>
      </x:c>
      <x:c r="H86" s="1" t="s">
        <x:v>120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121</x:v>
      </x:c>
      <x:c r="B87" s="2" t="s">
        <x:v>18</x:v>
      </x:c>
      <x:c r="C87" s="2">
        <x:f>HYPERLINK("https://team-oisq.testit.software/projects/1/tests/136", "Кроссбраузерное тестирование :проверка отображения страницы 404 (несуществующая страница)")</x:f>
      </x:c>
      <x:c r="D87" s="1" t="s">
        <x:v>19</x:v>
      </x:c>
      <x:c r="E87" s="1" t="s">
        <x:v>20</x:v>
      </x:c>
      <x:c r="F87" s="1" t="s">
        <x:v>20</x:v>
      </x:c>
      <x:c r="G87" s="1" t="s">
        <x:v>20</x:v>
      </x:c>
      <x:c r="H87" s="1" t="s">
        <x:v>20</x:v>
      </x:c>
      <x:c r="I87" s="1" t="s">
        <x:v>20</x:v>
      </x:c>
      <x:c r="J87" s="1" t="s">
        <x:v>20</x:v>
      </x:c>
      <x:c r="K87" s="1" t="s">
        <x:v>20</x:v>
      </x:c>
      <x:c r="L87" s="1" t="s">
        <x:v>21</x:v>
      </x:c>
      <x:c r="M87" s="1" t="s">
        <x:v>22</x:v>
      </x:c>
      <x:c r="N87" s="1" t="s">
        <x:v>122</x:v>
      </x:c>
      <x:c r="O87" s="1" t="s">
        <x:v>24</x:v>
      </x:c>
      <x:c r="P87" s="1" t="s">
        <x:v>25</x:v>
      </x:c>
      <x:c r="Q87" s="1" t="s">
        <x:v>26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27</x:v>
      </x:c>
      <x:c r="F88" s="1" t="s">
        <x:v>20</x:v>
      </x:c>
      <x:c r="G88" s="1" t="s">
        <x:v>20</x:v>
      </x:c>
      <x:c r="H88" s="1" t="s">
        <x:v>20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28</x:v>
      </x:c>
      <x:c r="F89" s="1" t="s">
        <x:v>20</x:v>
      </x:c>
      <x:c r="G89" s="1" t="s">
        <x:v>20</x:v>
      </x:c>
      <x:c r="H89" s="1" t="s">
        <x:v>20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123</x:v>
      </x:c>
      <x:c r="G90" s="1" t="s">
        <x:v>20</x:v>
      </x:c>
      <x:c r="H90" s="1" t="s">
        <x:v>124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125</x:v>
      </x:c>
      <x:c r="G91" s="1" t="s">
        <x:v>20</x:v>
      </x:c>
      <x:c r="H91" s="1" t="s">
        <x:v>126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127</x:v>
      </x:c>
      <x:c r="G92" s="1" t="s">
        <x:v>20</x:v>
      </x:c>
      <x:c r="H92" s="1" t="s">
        <x:v>128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129</x:v>
      </x:c>
      <x:c r="G93" s="1" t="s">
        <x:v>20</x:v>
      </x:c>
      <x:c r="H93" s="1" t="s">
        <x:v>130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131</x:v>
      </x:c>
      <x:c r="G94" s="1" t="s">
        <x:v>20</x:v>
      </x:c>
      <x:c r="H94" s="1" t="s">
        <x:v>132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133</x:v>
      </x:c>
      <x:c r="G95" s="1" t="s">
        <x:v>20</x:v>
      </x:c>
      <x:c r="H95" s="1" t="s">
        <x:v>134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135</x:v>
      </x:c>
      <x:c r="B96" s="2" t="s">
        <x:v>18</x:v>
      </x:c>
      <x:c r="C96" s="2">
        <x:f>HYPERLINK("https://team-oisq.testit.software/projects/1/tests/137", "Кроссбраузерное тестирование :проверка навигации с клавиатуры (Tab) и отображения фокуса")</x:f>
      </x:c>
      <x:c r="D96" s="1" t="s">
        <x:v>19</x:v>
      </x:c>
      <x:c r="E96" s="1" t="s">
        <x:v>20</x:v>
      </x:c>
      <x:c r="F96" s="1" t="s">
        <x:v>20</x:v>
      </x:c>
      <x:c r="G96" s="1" t="s">
        <x:v>20</x:v>
      </x:c>
      <x:c r="H96" s="1" t="s">
        <x:v>20</x:v>
      </x:c>
      <x:c r="I96" s="1" t="s">
        <x:v>20</x:v>
      </x:c>
      <x:c r="J96" s="1" t="s">
        <x:v>20</x:v>
      </x:c>
      <x:c r="K96" s="1" t="s">
        <x:v>20</x:v>
      </x:c>
      <x:c r="L96" s="1" t="s">
        <x:v>21</x:v>
      </x:c>
      <x:c r="M96" s="1" t="s">
        <x:v>22</x:v>
      </x:c>
      <x:c r="N96" s="1" t="s">
        <x:v>136</x:v>
      </x:c>
      <x:c r="O96" s="1" t="s">
        <x:v>24</x:v>
      </x:c>
      <x:c r="P96" s="1" t="s">
        <x:v>25</x:v>
      </x:c>
      <x:c r="Q96" s="1" t="s">
        <x:v>26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27</x:v>
      </x:c>
      <x:c r="F97" s="1" t="s">
        <x:v>20</x:v>
      </x:c>
      <x:c r="G97" s="1" t="s">
        <x:v>20</x:v>
      </x:c>
      <x:c r="H97" s="1" t="s">
        <x:v>20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28</x:v>
      </x:c>
      <x:c r="F98" s="1" t="s">
        <x:v>20</x:v>
      </x:c>
      <x:c r="G98" s="1" t="s">
        <x:v>20</x:v>
      </x:c>
      <x:c r="H98" s="1" t="s">
        <x:v>20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137</x:v>
      </x:c>
      <x:c r="F99" s="1" t="s">
        <x:v>20</x:v>
      </x:c>
      <x:c r="G99" s="1" t="s">
        <x:v>20</x:v>
      </x:c>
      <x:c r="H99" s="1" t="s">
        <x:v>20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138</x:v>
      </x:c>
      <x:c r="G100" s="1" t="s">
        <x:v>20</x:v>
      </x:c>
      <x:c r="H100" s="1" t="s">
        <x:v>139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140</x:v>
      </x:c>
      <x:c r="G101" s="1" t="s">
        <x:v>20</x:v>
      </x:c>
      <x:c r="H101" s="1" t="s">
        <x:v>141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142</x:v>
      </x:c>
      <x:c r="G102" s="1" t="s">
        <x:v>20</x:v>
      </x:c>
      <x:c r="H102" s="1" t="s">
        <x:v>143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144</x:v>
      </x:c>
      <x:c r="G103" s="1" t="s">
        <x:v>20</x:v>
      </x:c>
      <x:c r="H103" s="1" t="s">
        <x:v>145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146</x:v>
      </x:c>
      <x:c r="G104" s="1" t="s">
        <x:v>20</x:v>
      </x:c>
      <x:c r="H104" s="1" t="s">
        <x:v>147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148</x:v>
      </x:c>
      <x:c r="B105" s="2" t="s">
        <x:v>18</x:v>
      </x:c>
      <x:c r="C105" s="2">
        <x:f>HYPERLINK("https://team-oisq.testit.software/projects/1/tests/138", "Кроссбраузерное тестирование: проверка корректного поведения полосы прокрутки при скролле страницы")</x:f>
      </x:c>
      <x:c r="D105" s="1" t="s">
        <x:v>19</x:v>
      </x:c>
      <x:c r="E105" s="1" t="s">
        <x:v>20</x:v>
      </x:c>
      <x:c r="F105" s="1" t="s">
        <x:v>20</x:v>
      </x:c>
      <x:c r="G105" s="1" t="s">
        <x:v>20</x:v>
      </x:c>
      <x:c r="H105" s="1" t="s">
        <x:v>20</x:v>
      </x:c>
      <x:c r="I105" s="1" t="s">
        <x:v>20</x:v>
      </x:c>
      <x:c r="J105" s="1" t="s">
        <x:v>20</x:v>
      </x:c>
      <x:c r="K105" s="1" t="s">
        <x:v>20</x:v>
      </x:c>
      <x:c r="L105" s="1" t="s">
        <x:v>21</x:v>
      </x:c>
      <x:c r="M105" s="1" t="s">
        <x:v>22</x:v>
      </x:c>
      <x:c r="N105" s="1" t="s">
        <x:v>149</x:v>
      </x:c>
      <x:c r="O105" s="1" t="s">
        <x:v>24</x:v>
      </x:c>
      <x:c r="P105" s="1" t="s">
        <x:v>25</x:v>
      </x:c>
      <x:c r="Q105" s="1" t="s">
        <x:v>26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27</x:v>
      </x:c>
      <x:c r="F106" s="1" t="s">
        <x:v>20</x:v>
      </x:c>
      <x:c r="G106" s="1" t="s">
        <x:v>20</x:v>
      </x:c>
      <x:c r="H106" s="1" t="s">
        <x:v>20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28</x:v>
      </x:c>
      <x:c r="F107" s="1" t="s">
        <x:v>20</x:v>
      </x:c>
      <x:c r="G107" s="1" t="s">
        <x:v>20</x:v>
      </x:c>
      <x:c r="H107" s="1" t="s">
        <x:v>20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150</x:v>
      </x:c>
      <x:c r="G108" s="1" t="s">
        <x:v>20</x:v>
      </x:c>
      <x:c r="H108" s="1" t="s">
        <x:v>151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152</x:v>
      </x:c>
      <x:c r="G109" s="1" t="s">
        <x:v>20</x:v>
      </x:c>
      <x:c r="H109" s="1" t="s">
        <x:v>153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154</x:v>
      </x:c>
      <x:c r="G110" s="1" t="s">
        <x:v>20</x:v>
      </x:c>
      <x:c r="H110" s="1" t="s">
        <x:v>155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156</x:v>
      </x:c>
      <x:c r="G111" s="1" t="s">
        <x:v>20</x:v>
      </x:c>
      <x:c r="H111" s="1" t="s">
        <x:v>157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1" t="s">
        <x:v>158</x:v>
      </x:c>
      <x:c r="G112" s="1" t="s">
        <x:v>20</x:v>
      </x:c>
      <x:c r="H112" s="1" t="s">
        <x:v>159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160</x:v>
      </x:c>
      <x:c r="G113" s="1" t="s">
        <x:v>20</x:v>
      </x:c>
      <x:c r="H113" s="1" t="s">
        <x:v>161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162</x:v>
      </x:c>
      <x:c r="B114" s="2" t="s">
        <x:v>18</x:v>
      </x:c>
      <x:c r="C114" s="2">
        <x:f>HYPERLINK("https://team-oisq.testit.software/projects/1/tests/139", "Кроссбраузерное тестирование :проверка скорости загрузки главной страницы (не более 3 секунд)")</x:f>
      </x:c>
      <x:c r="D114" s="1" t="s">
        <x:v>19</x:v>
      </x:c>
      <x:c r="E114" s="1" t="s">
        <x:v>20</x:v>
      </x:c>
      <x:c r="F114" s="1" t="s">
        <x:v>20</x:v>
      </x:c>
      <x:c r="G114" s="1" t="s">
        <x:v>20</x:v>
      </x:c>
      <x:c r="H114" s="1" t="s">
        <x:v>20</x:v>
      </x:c>
      <x:c r="I114" s="1" t="s">
        <x:v>20</x:v>
      </x:c>
      <x:c r="J114" s="1" t="s">
        <x:v>20</x:v>
      </x:c>
      <x:c r="K114" s="1" t="s">
        <x:v>20</x:v>
      </x:c>
      <x:c r="L114" s="1" t="s">
        <x:v>21</x:v>
      </x:c>
      <x:c r="M114" s="1" t="s">
        <x:v>22</x:v>
      </x:c>
      <x:c r="N114" s="1" t="s">
        <x:v>163</x:v>
      </x:c>
      <x:c r="O114" s="1" t="s">
        <x:v>24</x:v>
      </x:c>
      <x:c r="P114" s="1" t="s">
        <x:v>25</x:v>
      </x:c>
      <x:c r="Q114" s="1" t="s">
        <x:v>26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27</x:v>
      </x:c>
      <x:c r="F115" s="1" t="s">
        <x:v>20</x:v>
      </x:c>
      <x:c r="G115" s="1" t="s">
        <x:v>20</x:v>
      </x:c>
      <x:c r="H115" s="1" t="s">
        <x:v>20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28</x:v>
      </x:c>
      <x:c r="F116" s="1" t="s">
        <x:v>20</x:v>
      </x:c>
      <x:c r="G116" s="1" t="s">
        <x:v>20</x:v>
      </x:c>
      <x:c r="H116" s="1" t="s">
        <x:v>20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164</x:v>
      </x:c>
      <x:c r="F117" s="1" t="s">
        <x:v>20</x:v>
      </x:c>
      <x:c r="G117" s="1" t="s">
        <x:v>20</x:v>
      </x:c>
      <x:c r="H117" s="1" t="s">
        <x:v>20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165</x:v>
      </x:c>
      <x:c r="G118" s="1" t="s">
        <x:v>20</x:v>
      </x:c>
      <x:c r="H118" s="1" t="s">
        <x:v>166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20</x:v>
      </x:c>
      <x:c r="F119" s="1" t="s">
        <x:v>167</x:v>
      </x:c>
      <x:c r="G119" s="1" t="s">
        <x:v>20</x:v>
      </x:c>
      <x:c r="H119" s="2" t="s">
        <x:v>168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169</x:v>
      </x:c>
      <x:c r="B120" s="2" t="s">
        <x:v>18</x:v>
      </x:c>
      <x:c r="C120" s="2">
        <x:f>HYPERLINK("https://team-oisq.testit.software/projects/1/tests/140", "Кроссбраузерное тестирование :проверка, что картинки загружаются без задержек (0.5-1 сек)")</x:f>
      </x:c>
      <x:c r="D120" s="1" t="s">
        <x:v>19</x:v>
      </x:c>
      <x:c r="E120" s="1" t="s">
        <x:v>20</x:v>
      </x:c>
      <x:c r="F120" s="1" t="s">
        <x:v>20</x:v>
      </x:c>
      <x:c r="G120" s="1" t="s">
        <x:v>20</x:v>
      </x:c>
      <x:c r="H120" s="1" t="s">
        <x:v>20</x:v>
      </x:c>
      <x:c r="I120" s="1" t="s">
        <x:v>20</x:v>
      </x:c>
      <x:c r="J120" s="1" t="s">
        <x:v>20</x:v>
      </x:c>
      <x:c r="K120" s="1" t="s">
        <x:v>20</x:v>
      </x:c>
      <x:c r="L120" s="1" t="s">
        <x:v>21</x:v>
      </x:c>
      <x:c r="M120" s="1" t="s">
        <x:v>22</x:v>
      </x:c>
      <x:c r="N120" s="1" t="s">
        <x:v>170</x:v>
      </x:c>
      <x:c r="O120" s="1" t="s">
        <x:v>24</x:v>
      </x:c>
      <x:c r="P120" s="1" t="s">
        <x:v>25</x:v>
      </x:c>
      <x:c r="Q120" s="1" t="s">
        <x:v>26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27</x:v>
      </x:c>
      <x:c r="F121" s="1" t="s">
        <x:v>20</x:v>
      </x:c>
      <x:c r="G121" s="1" t="s">
        <x:v>20</x:v>
      </x:c>
      <x:c r="H121" s="1" t="s">
        <x:v>20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28</x:v>
      </x:c>
      <x:c r="F122" s="1" t="s">
        <x:v>20</x:v>
      </x:c>
      <x:c r="G122" s="1" t="s">
        <x:v>20</x:v>
      </x:c>
      <x:c r="H122" s="1" t="s">
        <x:v>20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164</x:v>
      </x:c>
      <x:c r="F123" s="1" t="s">
        <x:v>20</x:v>
      </x:c>
      <x:c r="G123" s="1" t="s">
        <x:v>20</x:v>
      </x:c>
      <x:c r="H123" s="1" t="s">
        <x:v>20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20</x:v>
      </x:c>
      <x:c r="F124" s="1" t="s">
        <x:v>171</x:v>
      </x:c>
      <x:c r="G124" s="1" t="s">
        <x:v>20</x:v>
      </x:c>
      <x:c r="H124" s="1" t="s">
        <x:v>172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173</x:v>
      </x:c>
      <x:c r="G125" s="1" t="s">
        <x:v>20</x:v>
      </x:c>
      <x:c r="H125" s="1" t="s">
        <x:v>174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175</x:v>
      </x:c>
      <x:c r="G126" s="1" t="s">
        <x:v>20</x:v>
      </x:c>
      <x:c r="H126" s="1" t="s">
        <x:v>176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20</x:v>
      </x:c>
      <x:c r="F127" s="1" t="s">
        <x:v>177</x:v>
      </x:c>
      <x:c r="G127" s="1" t="s">
        <x:v>20</x:v>
      </x:c>
      <x:c r="H127" s="1" t="s">
        <x:v>178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