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ee8b5f7fa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15feaecbe4e398d97cdc186d94669.psmdcp" Id="Rc8f1fc2b34fa48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13" i="1"/>
  <x:c r="C24" i="1"/>
  <x:c r="C35" i="1"/>
  <x:c r="C46" i="1"/>
  <x:c r="C57" i="1"/>
  <x:c r="C68" i="1"/>
  <x:c r="C79" i="1"/>
  <x:c r="C90" i="1"/>
  <x:c r="C101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<x:sst xmlns:x="http://schemas.openxmlformats.org/spreadsheetml/2006/main">
  <x:si>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</x:si>
  <x:si>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</x:si>
  <x:si>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</x:si>
  <x:si>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</x:si>
  <x:si>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</x:si>
  <x:si>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</x:si>
  <x:si>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</x:si>
  <x:si>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</x:si>
  <x:si>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</x:si>
  <x:si>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</x:si>
  <x:si>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</x:si>
  <x:si>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</x:si>
  <x:si>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</x:si>
  <x:si>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</x:si>
  <x:si>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</x:si>
  <x:si>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</x:si>
  <x:si>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</x:si>
  <x:si>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54</x:t>
  </x:si>
  <x:si>
    <x:t>Дипломный проект_ACADEMY_TOP -&gt; Тестирование формы регистрации с помощью техники тестирования Pairwise</x:t>
  </x:si>
  <x:si>
    <x:t>Нет</x:t>
  </x:si>
  <x:si>
    <x:t/>
  </x:si>
  <x:si>
    <x:t>Высокий</x:t>
  </x:si>
  <x:si>
    <x:t>Требуется доработка</x:t>
  </x:si>
  <x:si>
    <x:t>6/7/2026 13:38:33</x:t>
  </x:si>
  <x:si>
    <x:t>Андрей Алексутин</x:t>
  </x:si>
  <x:si>
    <x:t>0h 5m 0s</x:t>
  </x:si>
  <x:si>
    <x:t>регистрация, pairwise/кроссбраузерное</x:t>
  </x:si>
  <x:si>
    <x:t>Используя инструмент попарного тестирования Pairwise составить тест-кейсы регистрации пользователя. Создание учетной записи с валидными и не валидными данными</x:t>
  </x:si>
  <x:si>
    <x:t>Открыта главная страница сайта  https://steiks.ru/</x:t>
  </x:si>
  <x:si>
    <x:t>страница открыта и доступна к работе</x:t>
  </x:si>
  <x:si>
    <x:t>Открыта форма регистрации нового пользователя</x:t>
  </x:si>
  <x:si>
    <x:t>Форма заполнения данных доступна к работе</x:t>
  </x:si>
  <x:si>
    <x:t>Ввести в поле “Имя“ валидные данные “Иван“</x:t>
  </x:si>
  <x:si>
    <x:t>Данные  отображаются</x:t>
  </x:si>
  <x:si>
    <x:t>Ввести в поле “Фамилия“ валидные данные “Иванов“</x:t>
  </x:si>
  <x:si>
    <x:t>Данные отображаются</x:t>
  </x:si>
  <x:si>
    <x:t>Пропустить ввод данных в поле “Контактный телефон“</x:t>
  </x:si>
  <x:si>
    <x:t>выполнен переход на ввод данных в поле “Пароль“</x:t>
  </x:si>
  <x:si>
    <x:t>Ввести не совпадающий пароль в поле “Пароль“ -’qwerty67’</x:t>
  </x:si>
  <x:si>
    <x:t>Символы отображаются в виде звездочек (•••••••) или кружков, скрывая вводимые данные</x:t>
  </x:si>
  <x:si>
    <x:t>Ввести валидный пароль в поле “Пароль (еще раз)“</x:t>
  </x:si>
  <x:si>
    <x:t>Ввести валидный код (капчу) в поле “Код с картинки“</x:t>
  </x:si>
  <x:si>
    <x:t>Нажать кнопку “Зарегистрироваться“</x:t>
  </x:si>
  <x:si>
    <x:t>Перехода не происходит, поле формы “Контактный телефон“ подсвечивается красным цветом, пользователь не зарегистрирован</x:t>
  </x:si>
  <x:si>
    <x:t>55</x:t>
  </x:si>
  <x:si>
    <x:t>6/7/2026 14:19:01</x:t>
  </x:si>
  <x:si>
    <x:t>Пропустить ввод данных в поле “Фамилия“</x:t>
  </x:si>
  <x:si>
    <x:t>выполнен переход на ввод данных в поле “Контактный телефон“</x:t>
  </x:si>
  <x:si>
    <x:t>Ввести неполный номер телефона “920926548“</x:t>
  </x:si>
  <x:si>
    <x:t>Введенные цифры отображаются в поле согласно маске телефона. В конце строки отображается нижнее подчеркивание, указывающее на незавершенный ввод. Поле подсвечивается красным цветом (индикация ошибки валидации формата данных).</x:t>
  </x:si>
  <x:si>
    <x:t>Ввести валидный пароль в поле “Пароль“ -’qwerty678’</x:t>
  </x:si>
  <x:si>
    <x:t>Ввести не совпадающий пароль в поле “Пароль еще раз“</x:t>
  </x:si>
  <x:si>
    <x:t>Ввести не верный код в поле “Код с картинки“</x:t>
  </x:si>
  <x:si>
    <x:t>Форма не отправляется, регистрация заблокирована. Поля «Фамилия» и «Контактный телефон» подсвечиваются красным цветом. Фокус ввода (активный курсор) автоматически устанавливается в незаполненное поле «Фамилия» для исправления данных.</x:t>
  </x:si>
  <x:si>
    <x:t>56</x:t>
  </x:si>
  <x:si>
    <x:t>6/7/2026 14:38:35</x:t>
  </x:si>
  <x:si>
    <x:t>Пропустить ввод данных в поле “Имя“</x:t>
  </x:si>
  <x:si>
    <x:t>Выполнен переход на ввод данных в поле “Фамилия“</x:t>
  </x:si>
  <x:si>
    <x:t>Ввести валидные данные в поле “Фамилия“ (Иванов)</x:t>
  </x:si>
  <x:si>
    <x:t>Ввести валидный  номер телефона “9209216548“ (11 цифр). Попробовать ввести дополнительные символы или цифры.</x:t>
  </x:si>
  <x:si>
    <x:t>Введенные цифры отображаются в поле согласно маске телефона. Ввод дополнительных символов заблокирован маской поля (срабатывает ограничение на максимальную длину).</x:t>
  </x:si>
  <x:si>
    <x:t>Ввести не корректный пароль в поле “Пароль“ -’qwerty68’</x:t>
  </x:si>
  <x:si>
    <x:t>Форма не отправляется, регистрация заблокирована. Поле «Имя» подсвечивается красным цветом. Фокус ввода (активный курсор) автоматически устанавливается в незаполненное поле «Имя» для исправления данных.</x:t>
  </x:si>
  <x:si>
    <x:t>57</x:t>
  </x:si>
  <x:si>
    <x:t>6/7/2026 14:53:58</x:t>
  </x:si>
  <x:si>
    <x:t>Выполнен переход на ввод данных в поле “Контактный телефон“</x:t>
  </x:si>
  <x:si>
    <x:t>Ввести валидный пароль в поле “Пароль еще раз“</x:t>
  </x:si>
  <x:si>
    <x:t>Ввести капчу в поле “Код с картинки“</x:t>
  </x:si>
  <x:si>
    <x:t>58</x:t>
  </x:si>
  <x:si>
    <x:t>6/7/2026 15:00:18</x:t>
  </x:si>
  <x:si>
    <x:t>Ввести спецсимволы в поле “Имя“</x:t>
  </x:si>
  <x:si>
    <x:t>Введенные символы отображаются в поле. Поле «Имя» подсвечивается красным цветом (индикация ошибки валидации недопустимых символов).</x:t>
  </x:si>
  <x:si>
    <x:t>Ввести неполный номер телефона “920926548“ (9 цифр). Попробовать ввести дополнительные символы или цифры.</x:t>
  </x:si>
  <x:si>
    <x:t>Форма не отправляется, регистрация заблокирована. Поле «Имя» подсвечивается красным цветом. Фокус ввода (активный курсор) автоматически устанавливается в некорректно заполненное поле «Имя» для исправления данных.</x:t>
  </x:si>
  <x:si>
    <x:t>59</x:t>
  </x:si>
  <x:si>
    <x:t>6/7/2026 15:13:50</x:t>
  </x:si>
  <x:si>
    <x:t>пропустить ввод данных в поле “Фамилия“</x:t>
  </x:si>
  <x:si>
    <x:t>Выполнен переход на ввод данных в поле “Пароль“</x:t>
  </x:si>
  <x:si>
    <x:t>Ввести не валидный пароль в поле “Пароль“ -’qwerty68’</x:t>
  </x:si>
  <x:si>
    <x:t>Ввести верный код в поле “Код с картинки“ (Капча)</x:t>
  </x:si>
  <x:si>
    <x:t>60</x:t>
  </x:si>
  <x:si>
    <x:t>6/7/2026 15:18:55</x:t>
  </x:si>
  <x:si>
    <x:t>Ввести валидные данные в поле “Имя“ (Иван)</x:t>
  </x:si>
  <x:si>
    <x:t>Ввести валидные данные в поле “Контактный телефон“ (9209216548)</x:t>
  </x:si>
  <x:si>
    <x:t>Ввести валидный пароль в поле “Пароль еще раз“ (qwerty678)</x:t>
  </x:si>
  <x:si>
    <x:t>Форма не отправляется, регистрация нового пользователя заблокирована. В правом верхнем углу экрана отображается всплывающее уведомление (Toast) красного цвета с текстом ошибки: «Введенные пароли не совпадают». Переход на следующую страницу не происходит.</x:t>
  </x:si>
  <x:si>
    <x:t>61</x:t>
  </x:si>
  <x:si>
    <x:t>6/7/2026 15:25:46</x:t>
  </x:si>
  <x:si>
    <x:t>Ввести не совпадающий пароль в поле “Пароль еще раз“ (qwerty78)</x:t>
  </x:si>
  <x:si>
    <x:t>Ввести не верный код в поле “Код с картинки“ (Капча)</x:t>
  </x:si>
  <x:si>
    <x:t>62</x:t>
  </x:si>
  <x:si>
    <x:t>6/7/2026 15:32:17</x:t>
  </x:si>
  <x:si>
    <x:t>Ввести не валидный пароль в поле “Пароль“ -’qwert678’</x:t>
  </x:si>
  <x:si>
    <x:t>Форма не отправляется, регистрация заблокирована. Поле «Имя» подсвечивается красным цветом. Фокус ввода (активный курсор) автоматически устанавливается в не заполненное поле «Имя» для исправления данных.</x:t>
  </x:si>
  <x:si>
    <x:t>63</x:t>
  </x:si>
  <x:si>
    <x:t>6/7/2026 15:38:46</x:t>
  </x:si>
  <x:si>
    <x:t>Ввести не совпадающий пароль в поле “Пароль еще раз“ -’qwert678’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</x:si>
</x:sst>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11" totalsRowShown="0">
  <x:autoFilter ref="A1:Q111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11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20.853482" style="1" customWidth="1"/>
    <x:col min="14" max="14" width="16.853482" style="1" customWidth="1"/>
    <x:col min="15" max="15" width="18.139196" style="1" customWidth="1"/>
    <x:col min="16" max="16" width="16.139196" style="1" customWidth="1"/>
    <x:col min="17" max="17" width="38.567768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HYPERLINK("https://team-oisq.testit.software/projects/1/tests/54", "Проверка регистрации пользователя с не валидными данными(1)")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27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30</x:v>
      </x:c>
      <x:c r="F5" s="1" t="s">
        <x:v>20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1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40</x:v>
      </x:c>
      <x:c r="G10" s="1" t="s">
        <x:v>20</x:v>
      </x:c>
      <x:c r="H10" s="1" t="s">
        <x:v>39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41</x:v>
      </x:c>
      <x:c r="G11" s="1" t="s">
        <x:v>20</x:v>
      </x:c>
      <x:c r="H11" s="1" t="s">
        <x:v>35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42</x:v>
      </x:c>
      <x:c r="G12" s="1" t="s">
        <x:v>20</x:v>
      </x:c>
      <x:c r="H12" s="1" t="s">
        <x:v>43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44</x:v>
      </x:c>
      <x:c r="B13" s="2" t="s">
        <x:v>18</x:v>
      </x:c>
      <x:c r="C13" s="2">
        <x:f>HYPERLINK("https://team-oisq.testit.software/projects/1/tests/55", "Проверка регистрации пользователя с не валидными данными (2)")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45</x:v>
      </x:c>
      <x:c r="O13" s="1" t="s">
        <x:v>24</x:v>
      </x:c>
      <x:c r="P13" s="1" t="s">
        <x:v>25</x:v>
      </x:c>
      <x:c r="Q13" s="1" t="s">
        <x:v>26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27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28</x:v>
      </x:c>
      <x:c r="F15" s="1" t="s">
        <x:v>20</x:v>
      </x:c>
      <x:c r="G15" s="1" t="s">
        <x:v>20</x:v>
      </x:c>
      <x:c r="H15" s="1" t="s">
        <x:v>29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30</x:v>
      </x:c>
      <x:c r="F16" s="1" t="s">
        <x:v>20</x:v>
      </x:c>
      <x:c r="G16" s="1" t="s">
        <x:v>20</x:v>
      </x:c>
      <x:c r="H16" s="1" t="s">
        <x:v>31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32</x:v>
      </x:c>
      <x:c r="G17" s="1" t="s">
        <x:v>20</x:v>
      </x:c>
      <x:c r="H17" s="1" t="s">
        <x:v>33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46</x:v>
      </x:c>
      <x:c r="G18" s="1" t="s">
        <x:v>20</x:v>
      </x:c>
      <x:c r="H18" s="1" t="s">
        <x:v>47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48</x:v>
      </x:c>
      <x:c r="G19" s="1" t="s">
        <x:v>20</x:v>
      </x:c>
      <x:c r="H19" s="1" t="s">
        <x:v>49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50</x:v>
      </x:c>
      <x:c r="G20" s="1" t="s">
        <x:v>20</x:v>
      </x:c>
      <x:c r="H20" s="1" t="s">
        <x:v>39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51</x:v>
      </x:c>
      <x:c r="G21" s="1" t="s">
        <x:v>20</x:v>
      </x:c>
      <x:c r="H21" s="1" t="s">
        <x:v>39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52</x:v>
      </x:c>
      <x:c r="G22" s="1" t="s">
        <x:v>20</x:v>
      </x:c>
      <x:c r="H22" s="1" t="s">
        <x:v>35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42</x:v>
      </x:c>
      <x:c r="G23" s="1" t="s">
        <x:v>20</x:v>
      </x:c>
      <x:c r="H23" s="1" t="s">
        <x:v>53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54</x:v>
      </x:c>
      <x:c r="B24" s="2" t="s">
        <x:v>18</x:v>
      </x:c>
      <x:c r="C24" s="2">
        <x:f>HYPERLINK("https://team-oisq.testit.software/projects/1/tests/56", "Проверка регистрации пользователя с не валидными данными (3)")</x:f>
      </x:c>
      <x:c r="D24" s="1" t="s">
        <x:v>19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21</x:v>
      </x:c>
      <x:c r="M24" s="1" t="s">
        <x:v>22</x:v>
      </x:c>
      <x:c r="N24" s="1" t="s">
        <x:v>55</x:v>
      </x:c>
      <x:c r="O24" s="1" t="s">
        <x:v>24</x:v>
      </x:c>
      <x:c r="P24" s="1" t="s">
        <x:v>25</x:v>
      </x:c>
      <x:c r="Q24" s="1" t="s">
        <x:v>26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27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28</x:v>
      </x:c>
      <x:c r="F26" s="1" t="s">
        <x:v>20</x:v>
      </x:c>
      <x:c r="G26" s="1" t="s">
        <x:v>20</x:v>
      </x:c>
      <x:c r="H26" s="1" t="s">
        <x:v>29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30</x:v>
      </x:c>
      <x:c r="F27" s="1" t="s">
        <x:v>20</x:v>
      </x:c>
      <x:c r="G27" s="1" t="s">
        <x:v>20</x:v>
      </x:c>
      <x:c r="H27" s="1" t="s">
        <x:v>31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56</x:v>
      </x:c>
      <x:c r="G28" s="1" t="s">
        <x:v>20</x:v>
      </x:c>
      <x:c r="H28" s="1" t="s">
        <x:v>57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58</x:v>
      </x:c>
      <x:c r="G29" s="1" t="s">
        <x:v>20</x:v>
      </x:c>
      <x:c r="H29" s="1" t="s">
        <x:v>35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59</x:v>
      </x:c>
      <x:c r="G30" s="1" t="s">
        <x:v>20</x:v>
      </x:c>
      <x:c r="H30" s="1" t="s">
        <x:v>60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61</x:v>
      </x:c>
      <x:c r="G31" s="1" t="s">
        <x:v>20</x:v>
      </x:c>
      <x:c r="H31" s="1" t="s">
        <x:v>39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51</x:v>
      </x:c>
      <x:c r="G32" s="1" t="s">
        <x:v>20</x:v>
      </x:c>
      <x:c r="H32" s="1" t="s">
        <x:v>39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52</x:v>
      </x:c>
      <x:c r="G33" s="1" t="s">
        <x:v>20</x:v>
      </x:c>
      <x:c r="H33" s="1" t="s">
        <x:v>35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42</x:v>
      </x:c>
      <x:c r="G34" s="1" t="s">
        <x:v>20</x:v>
      </x:c>
      <x:c r="H34" s="1" t="s">
        <x:v>62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63</x:v>
      </x:c>
      <x:c r="B35" s="2" t="s">
        <x:v>18</x:v>
      </x:c>
      <x:c r="C35" s="2">
        <x:f>HYPERLINK("https://team-oisq.testit.software/projects/1/tests/57", "Проверка регистрации пользователя с не валидными данными (4)")</x:f>
      </x:c>
      <x:c r="D35" s="1" t="s">
        <x:v>19</x:v>
      </x:c>
      <x:c r="E35" s="1" t="s">
        <x:v>20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21</x:v>
      </x:c>
      <x:c r="M35" s="1" t="s">
        <x:v>22</x:v>
      </x:c>
      <x:c r="N35" s="1" t="s">
        <x:v>64</x:v>
      </x:c>
      <x:c r="O35" s="1" t="s">
        <x:v>24</x:v>
      </x:c>
      <x:c r="P35" s="1" t="s">
        <x:v>25</x:v>
      </x:c>
      <x:c r="Q35" s="1" t="s">
        <x:v>26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27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28</x:v>
      </x:c>
      <x:c r="F37" s="1" t="s">
        <x:v>20</x:v>
      </x:c>
      <x:c r="G37" s="1" t="s">
        <x:v>20</x:v>
      </x:c>
      <x:c r="H37" s="1" t="s">
        <x:v>29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30</x:v>
      </x:c>
      <x:c r="F38" s="1" t="s">
        <x:v>20</x:v>
      </x:c>
      <x:c r="G38" s="1" t="s">
        <x:v>20</x:v>
      </x:c>
      <x:c r="H38" s="1" t="s">
        <x:v>31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56</x:v>
      </x:c>
      <x:c r="G39" s="1" t="s">
        <x:v>20</x:v>
      </x:c>
      <x:c r="H39" s="1" t="s">
        <x:v>57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46</x:v>
      </x:c>
      <x:c r="G40" s="1" t="s">
        <x:v>20</x:v>
      </x:c>
      <x:c r="H40" s="1" t="s">
        <x:v>65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59</x:v>
      </x:c>
      <x:c r="G41" s="1" t="s">
        <x:v>20</x:v>
      </x:c>
      <x:c r="H41" s="1" t="s">
        <x:v>60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50</x:v>
      </x:c>
      <x:c r="G42" s="1" t="s">
        <x:v>20</x:v>
      </x:c>
      <x:c r="H42" s="1" t="s">
        <x:v>39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66</x:v>
      </x:c>
      <x:c r="G43" s="1" t="s">
        <x:v>20</x:v>
      </x:c>
      <x:c r="H43" s="1" t="s">
        <x:v>39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67</x:v>
      </x:c>
      <x:c r="G44" s="1" t="s">
        <x:v>20</x:v>
      </x:c>
      <x:c r="H44" s="1" t="s">
        <x:v>35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42</x:v>
      </x:c>
      <x:c r="G45" s="1" t="s">
        <x:v>20</x:v>
      </x:c>
      <x:c r="H45" s="1" t="s">
        <x:v>62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68</x:v>
      </x:c>
      <x:c r="B46" s="2" t="s">
        <x:v>18</x:v>
      </x:c>
      <x:c r="C46" s="2">
        <x:f>HYPERLINK("https://team-oisq.testit.software/projects/1/tests/58", "Проверка регистрации пользователя с не валидными данными (5)")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69</x:v>
      </x:c>
      <x:c r="O46" s="1" t="s">
        <x:v>24</x:v>
      </x:c>
      <x:c r="P46" s="1" t="s">
        <x:v>25</x:v>
      </x:c>
      <x:c r="Q46" s="1" t="s">
        <x:v>26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27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28</x:v>
      </x:c>
      <x:c r="F48" s="1" t="s">
        <x:v>20</x:v>
      </x:c>
      <x:c r="G48" s="1" t="s">
        <x:v>20</x:v>
      </x:c>
      <x:c r="H48" s="1" t="s">
        <x:v>29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30</x:v>
      </x:c>
      <x:c r="F49" s="1" t="s">
        <x:v>20</x:v>
      </x:c>
      <x:c r="G49" s="1" t="s">
        <x:v>20</x:v>
      </x:c>
      <x:c r="H49" s="1" t="s">
        <x:v>31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70</x:v>
      </x:c>
      <x:c r="G50" s="1" t="s">
        <x:v>20</x:v>
      </x:c>
      <x:c r="H50" s="1" t="s">
        <x:v>71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58</x:v>
      </x:c>
      <x:c r="G51" s="1" t="s">
        <x:v>20</x:v>
      </x:c>
      <x:c r="H51" s="1" t="s">
        <x:v>35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72</x:v>
      </x:c>
      <x:c r="G52" s="1" t="s">
        <x:v>20</x:v>
      </x:c>
      <x:c r="H52" s="1" t="s">
        <x:v>49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50</x:v>
      </x:c>
      <x:c r="G53" s="1" t="s">
        <x:v>20</x:v>
      </x:c>
      <x:c r="H53" s="1" t="s">
        <x:v>39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66</x:v>
      </x:c>
      <x:c r="G54" s="1" t="s">
        <x:v>20</x:v>
      </x:c>
      <x:c r="H54" s="1" t="s">
        <x:v>39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52</x:v>
      </x:c>
      <x:c r="G55" s="1" t="s">
        <x:v>20</x:v>
      </x:c>
      <x:c r="H55" s="1" t="s">
        <x:v>35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42</x:v>
      </x:c>
      <x:c r="G56" s="1" t="s">
        <x:v>20</x:v>
      </x:c>
      <x:c r="H56" s="1" t="s">
        <x:v>73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74</x:v>
      </x:c>
      <x:c r="B57" s="2" t="s">
        <x:v>18</x:v>
      </x:c>
      <x:c r="C57" s="2">
        <x:f>HYPERLINK("https://team-oisq.testit.software/projects/1/tests/59", "Проверка регистрации пользователя с не валидными данными (6)")</x:f>
      </x:c>
      <x:c r="D57" s="1" t="s">
        <x:v>19</x:v>
      </x:c>
      <x:c r="E57" s="1" t="s">
        <x:v>20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21</x:v>
      </x:c>
      <x:c r="M57" s="1" t="s">
        <x:v>22</x:v>
      </x:c>
      <x:c r="N57" s="1" t="s">
        <x:v>75</x:v>
      </x:c>
      <x:c r="O57" s="1" t="s">
        <x:v>24</x:v>
      </x:c>
      <x:c r="P57" s="1" t="s">
        <x:v>25</x:v>
      </x:c>
      <x:c r="Q57" s="1" t="s">
        <x:v>26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27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28</x:v>
      </x:c>
      <x:c r="F59" s="1" t="s">
        <x:v>20</x:v>
      </x:c>
      <x:c r="G59" s="1" t="s">
        <x:v>20</x:v>
      </x:c>
      <x:c r="H59" s="1" t="s">
        <x:v>29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30</x:v>
      </x:c>
      <x:c r="F60" s="1" t="s">
        <x:v>20</x:v>
      </x:c>
      <x:c r="G60" s="1" t="s">
        <x:v>20</x:v>
      </x:c>
      <x:c r="H60" s="1" t="s">
        <x:v>31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70</x:v>
      </x:c>
      <x:c r="G61" s="1" t="s">
        <x:v>20</x:v>
      </x:c>
      <x:c r="H61" s="1" t="s">
        <x:v>71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76</x:v>
      </x:c>
      <x:c r="G62" s="1" t="s">
        <x:v>20</x:v>
      </x:c>
      <x:c r="H62" s="1" t="s">
        <x:v>65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36</x:v>
      </x:c>
      <x:c r="G63" s="1" t="s">
        <x:v>20</x:v>
      </x:c>
      <x:c r="H63" s="1" t="s">
        <x:v>77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78</x:v>
      </x:c>
      <x:c r="G64" s="1" t="s">
        <x:v>20</x:v>
      </x:c>
      <x:c r="H64" s="1" t="s">
        <x:v>39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51</x:v>
      </x:c>
      <x:c r="G65" s="1" t="s">
        <x:v>20</x:v>
      </x:c>
      <x:c r="H65" s="1" t="s">
        <x:v>39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79</x:v>
      </x:c>
      <x:c r="G66" s="1" t="s">
        <x:v>20</x:v>
      </x:c>
      <x:c r="H66" s="1" t="s">
        <x:v>35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42</x:v>
      </x:c>
      <x:c r="G67" s="1" t="s">
        <x:v>20</x:v>
      </x:c>
      <x:c r="H67" s="1" t="s">
        <x:v>73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80</x:v>
      </x:c>
      <x:c r="B68" s="2" t="s">
        <x:v>18</x:v>
      </x:c>
      <x:c r="C68" s="2">
        <x:f>HYPERLINK("https://team-oisq.testit.software/projects/1/tests/60", "Проверка регистрации пользователя с не валидными данными (7)")</x:f>
      </x:c>
      <x:c r="D68" s="1" t="s">
        <x:v>19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21</x:v>
      </x:c>
      <x:c r="M68" s="1" t="s">
        <x:v>22</x:v>
      </x:c>
      <x:c r="N68" s="1" t="s">
        <x:v>81</x:v>
      </x:c>
      <x:c r="O68" s="1" t="s">
        <x:v>24</x:v>
      </x:c>
      <x:c r="P68" s="1" t="s">
        <x:v>25</x:v>
      </x:c>
      <x:c r="Q68" s="1" t="s">
        <x:v>26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27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28</x:v>
      </x:c>
      <x:c r="F70" s="1" t="s">
        <x:v>20</x:v>
      </x:c>
      <x:c r="G70" s="1" t="s">
        <x:v>20</x:v>
      </x:c>
      <x:c r="H70" s="1" t="s">
        <x:v>29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30</x:v>
      </x:c>
      <x:c r="F71" s="1" t="s">
        <x:v>20</x:v>
      </x:c>
      <x:c r="G71" s="1" t="s">
        <x:v>20</x:v>
      </x:c>
      <x:c r="H71" s="1" t="s">
        <x:v>31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82</x:v>
      </x:c>
      <x:c r="G72" s="1" t="s">
        <x:v>20</x:v>
      </x:c>
      <x:c r="H72" s="1" t="s">
        <x:v>35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58</x:v>
      </x:c>
      <x:c r="G73" s="1" t="s">
        <x:v>20</x:v>
      </x:c>
      <x:c r="H73" s="1" t="s">
        <x:v>35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83</x:v>
      </x:c>
      <x:c r="G74" s="1" t="s">
        <x:v>20</x:v>
      </x:c>
      <x:c r="H74" s="1" t="s">
        <x:v>35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78</x:v>
      </x:c>
      <x:c r="G75" s="1" t="s">
        <x:v>20</x:v>
      </x:c>
      <x:c r="H75" s="1" t="s">
        <x:v>39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84</x:v>
      </x:c>
      <x:c r="G76" s="1" t="s">
        <x:v>20</x:v>
      </x:c>
      <x:c r="H76" s="1" t="s">
        <x:v>39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79</x:v>
      </x:c>
      <x:c r="G77" s="1" t="s">
        <x:v>20</x:v>
      </x:c>
      <x:c r="H77" s="1" t="s">
        <x:v>35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42</x:v>
      </x:c>
      <x:c r="G78" s="1" t="s">
        <x:v>20</x:v>
      </x:c>
      <x:c r="H78" s="1" t="s">
        <x:v>85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86</x:v>
      </x:c>
      <x:c r="B79" s="2" t="s">
        <x:v>18</x:v>
      </x:c>
      <x:c r="C79" s="2">
        <x:f>HYPERLINK("https://team-oisq.testit.software/projects/1/tests/61", "Проверка регистрации пользователя с не валидными данными (8)")</x:f>
      </x:c>
      <x:c r="D79" s="1" t="s">
        <x:v>19</x:v>
      </x:c>
      <x:c r="E79" s="1" t="s">
        <x:v>20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21</x:v>
      </x:c>
      <x:c r="M79" s="1" t="s">
        <x:v>22</x:v>
      </x:c>
      <x:c r="N79" s="1" t="s">
        <x:v>87</x:v>
      </x:c>
      <x:c r="O79" s="1" t="s">
        <x:v>24</x:v>
      </x:c>
      <x:c r="P79" s="1" t="s">
        <x:v>25</x:v>
      </x:c>
      <x:c r="Q79" s="1" t="s">
        <x:v>26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27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28</x:v>
      </x:c>
      <x:c r="F81" s="1" t="s">
        <x:v>20</x:v>
      </x:c>
      <x:c r="G81" s="1" t="s">
        <x:v>20</x:v>
      </x:c>
      <x:c r="H81" s="1" t="s">
        <x:v>29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30</x:v>
      </x:c>
      <x:c r="F82" s="1" t="s">
        <x:v>20</x:v>
      </x:c>
      <x:c r="G82" s="1" t="s">
        <x:v>20</x:v>
      </x:c>
      <x:c r="H82" s="1" t="s">
        <x:v>31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56</x:v>
      </x:c>
      <x:c r="G83" s="1" t="s">
        <x:v>20</x:v>
      </x:c>
      <x:c r="H83" s="1" t="s">
        <x:v>57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58</x:v>
      </x:c>
      <x:c r="G84" s="1" t="s">
        <x:v>20</x:v>
      </x:c>
      <x:c r="H84" s="1" t="s">
        <x:v>35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36</x:v>
      </x:c>
      <x:c r="G85" s="1" t="s">
        <x:v>20</x:v>
      </x:c>
      <x:c r="H85" s="1" t="s">
        <x:v>77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50</x:v>
      </x:c>
      <x:c r="G86" s="1" t="s">
        <x:v>20</x:v>
      </x:c>
      <x:c r="H86" s="1" t="s">
        <x:v>39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88</x:v>
      </x:c>
      <x:c r="G87" s="1" t="s">
        <x:v>20</x:v>
      </x:c>
      <x:c r="H87" s="1" t="s">
        <x:v>39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89</x:v>
      </x:c>
      <x:c r="G88" s="1" t="s">
        <x:v>20</x:v>
      </x:c>
      <x:c r="H88" s="1" t="s">
        <x:v>35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42</x:v>
      </x:c>
      <x:c r="G89" s="1" t="s">
        <x:v>20</x:v>
      </x:c>
      <x:c r="H89" s="1" t="s">
        <x:v>73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90</x:v>
      </x:c>
      <x:c r="B90" s="2" t="s">
        <x:v>18</x:v>
      </x:c>
      <x:c r="C90" s="2">
        <x:f>HYPERLINK("https://team-oisq.testit.software/projects/1/tests/62", "Проверка регистрации пользователя с не валидными данными (9)")</x:f>
      </x:c>
      <x:c r="D90" s="1" t="s">
        <x:v>19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21</x:v>
      </x:c>
      <x:c r="M90" s="1" t="s">
        <x:v>22</x:v>
      </x:c>
      <x:c r="N90" s="1" t="s">
        <x:v>91</x:v>
      </x:c>
      <x:c r="O90" s="1" t="s">
        <x:v>24</x:v>
      </x:c>
      <x:c r="P90" s="1" t="s">
        <x:v>25</x:v>
      </x:c>
      <x:c r="Q90" s="1" t="s">
        <x:v>26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27</x:v>
      </x:c>
      <x:c r="F91" s="1" t="s">
        <x:v>20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28</x:v>
      </x:c>
      <x:c r="F92" s="1" t="s">
        <x:v>20</x:v>
      </x:c>
      <x:c r="G92" s="1" t="s">
        <x:v>20</x:v>
      </x:c>
      <x:c r="H92" s="1" t="s">
        <x:v>29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30</x:v>
      </x:c>
      <x:c r="F93" s="1" t="s">
        <x:v>20</x:v>
      </x:c>
      <x:c r="G93" s="1" t="s">
        <x:v>20</x:v>
      </x:c>
      <x:c r="H93" s="1" t="s">
        <x:v>31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56</x:v>
      </x:c>
      <x:c r="G94" s="1" t="s">
        <x:v>20</x:v>
      </x:c>
      <x:c r="H94" s="1" t="s">
        <x:v>57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46</x:v>
      </x:c>
      <x:c r="G95" s="1" t="s">
        <x:v>20</x:v>
      </x:c>
      <x:c r="H95" s="1" t="s">
        <x:v>65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72</x:v>
      </x:c>
      <x:c r="G96" s="1" t="s">
        <x:v>20</x:v>
      </x:c>
      <x:c r="H96" s="1" t="s">
        <x:v>49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92</x:v>
      </x:c>
      <x:c r="G97" s="1" t="s">
        <x:v>20</x:v>
      </x:c>
      <x:c r="H97" s="1" t="s">
        <x:v>39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88</x:v>
      </x:c>
      <x:c r="G98" s="1" t="s">
        <x:v>20</x:v>
      </x:c>
      <x:c r="H98" s="1" t="s">
        <x:v>39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79</x:v>
      </x:c>
      <x:c r="G99" s="1" t="s">
        <x:v>20</x:v>
      </x:c>
      <x:c r="H99" s="1" t="s">
        <x:v>35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42</x:v>
      </x:c>
      <x:c r="G100" s="1" t="s">
        <x:v>20</x:v>
      </x:c>
      <x:c r="H100" s="1" t="s">
        <x:v>93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94</x:v>
      </x:c>
      <x:c r="B101" s="2" t="s">
        <x:v>18</x:v>
      </x:c>
      <x:c r="C101" s="2">
        <x:f>HYPERLINK("https://team-oisq.testit.software/projects/1/tests/63", "Проверка регистрации пользователя с не валидными данными (10)")</x:f>
      </x:c>
      <x:c r="D101" s="1" t="s">
        <x:v>19</x:v>
      </x:c>
      <x:c r="E101" s="1" t="s">
        <x:v>20</x:v>
      </x:c>
      <x:c r="F101" s="1" t="s">
        <x:v>20</x:v>
      </x:c>
      <x:c r="G101" s="1" t="s">
        <x:v>20</x:v>
      </x:c>
      <x:c r="H101" s="1" t="s">
        <x:v>20</x:v>
      </x:c>
      <x:c r="I101" s="1" t="s">
        <x:v>20</x:v>
      </x:c>
      <x:c r="J101" s="1" t="s">
        <x:v>20</x:v>
      </x:c>
      <x:c r="K101" s="1" t="s">
        <x:v>20</x:v>
      </x:c>
      <x:c r="L101" s="1" t="s">
        <x:v>21</x:v>
      </x:c>
      <x:c r="M101" s="1" t="s">
        <x:v>22</x:v>
      </x:c>
      <x:c r="N101" s="1" t="s">
        <x:v>95</x:v>
      </x:c>
      <x:c r="O101" s="1" t="s">
        <x:v>24</x:v>
      </x:c>
      <x:c r="P101" s="1" t="s">
        <x:v>25</x:v>
      </x:c>
      <x:c r="Q101" s="1" t="s">
        <x:v>26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27</x:v>
      </x:c>
      <x:c r="F102" s="1" t="s">
        <x:v>20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28</x:v>
      </x:c>
      <x:c r="F103" s="1" t="s">
        <x:v>20</x:v>
      </x:c>
      <x:c r="G103" s="1" t="s">
        <x:v>20</x:v>
      </x:c>
      <x:c r="H103" s="1" t="s">
        <x:v>29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30</x:v>
      </x:c>
      <x:c r="F104" s="1" t="s">
        <x:v>20</x:v>
      </x:c>
      <x:c r="G104" s="1" t="s">
        <x:v>20</x:v>
      </x:c>
      <x:c r="H104" s="1" t="s">
        <x:v>31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70</x:v>
      </x:c>
      <x:c r="G105" s="1" t="s">
        <x:v>20</x:v>
      </x:c>
      <x:c r="H105" s="1" t="s">
        <x:v>71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76</x:v>
      </x:c>
      <x:c r="G106" s="1" t="s">
        <x:v>20</x:v>
      </x:c>
      <x:c r="H106" s="1" t="s">
        <x:v>65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83</x:v>
      </x:c>
      <x:c r="G107" s="1" t="s">
        <x:v>20</x:v>
      </x:c>
      <x:c r="H107" s="1" t="s">
        <x:v>60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50</x:v>
      </x:c>
      <x:c r="G108" s="1" t="s">
        <x:v>20</x:v>
      </x:c>
      <x:c r="H108" s="1" t="s">
        <x:v>39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96</x:v>
      </x:c>
      <x:c r="G109" s="1" t="s">
        <x:v>20</x:v>
      </x:c>
      <x:c r="H109" s="1" t="s">
        <x:v>39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89</x:v>
      </x:c>
      <x:c r="G110" s="1" t="s">
        <x:v>20</x:v>
      </x:c>
      <x:c r="H110" s="1" t="s">
        <x:v>35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42</x:v>
      </x:c>
      <x:c r="G111" s="1" t="s">
        <x:v>20</x:v>
      </x:c>
      <x:c r="H111" s="1" t="s">
        <x:v>73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